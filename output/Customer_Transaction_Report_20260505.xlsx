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onthly Trend" sheetId="2" state="visible" r:id="rId2"/>
    <sheet name="Branch Analysis" sheetId="3" state="visible" r:id="rId3"/>
    <sheet name="Transaction Breakdown" sheetId="4" state="visible" r:id="rId4"/>
    <sheet name="Segment Analysis" sheetId="5" state="visible" r:id="rId5"/>
    <sheet name="Top Customers" sheetId="6" state="visible" r:id="rId6"/>
    <sheet name="Anomaly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001A1A1A"/>
      <sz val="20"/>
    </font>
    <font>
      <name val="Arial"/>
      <color rgb="00444444"/>
      <sz val="12"/>
    </font>
    <font>
      <name val="Arial"/>
      <b val="1"/>
      <color rgb="001F3864"/>
      <sz val="13"/>
    </font>
    <font>
      <name val="Arial"/>
      <b val="1"/>
      <color rgb="00555555"/>
      <sz val="9"/>
    </font>
    <font>
      <name val="Arial"/>
      <b val="1"/>
      <color rgb="001F3864"/>
      <sz val="16"/>
    </font>
    <font>
      <name val="Arial"/>
      <color rgb="00888888"/>
      <sz val="8"/>
    </font>
    <font>
      <name val="Arial"/>
      <b val="1"/>
      <color rgb="001F3864"/>
      <sz val="11"/>
    </font>
    <font>
      <name val="Arial"/>
      <b val="1"/>
      <color rgb="002E75B6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AA0000"/>
      <sz val="10"/>
    </font>
    <font>
      <name val="Arial"/>
      <b val="1"/>
      <color rgb="00C00000"/>
      <sz val="10"/>
    </font>
  </fonts>
  <fills count="15">
    <fill>
      <patternFill/>
    </fill>
    <fill>
      <patternFill patternType="gray125"/>
    </fill>
    <fill>
      <patternFill patternType="solid">
        <fgColor rgb="00FFCC00"/>
      </patternFill>
    </fill>
    <fill>
      <patternFill patternType="solid">
        <fgColor rgb="00FFFDE7"/>
      </patternFill>
    </fill>
    <fill>
      <patternFill patternType="solid">
        <fgColor rgb="00D6E4F0"/>
      </patternFill>
    </fill>
    <fill>
      <patternFill patternType="solid">
        <fgColor rgb="00FFF9D6"/>
      </patternFill>
    </fill>
    <fill>
      <patternFill patternType="solid">
        <fgColor rgb="00FFE0E0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3" fillId="5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right" vertical="center"/>
    </xf>
    <xf numFmtId="4" fontId="9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/>
    </xf>
    <xf numFmtId="164" fontId="9" fillId="8" borderId="1" applyAlignment="1" pivotButton="0" quotePrefix="0" xfId="0">
      <alignment horizontal="right"/>
    </xf>
    <xf numFmtId="0" fontId="10" fillId="7" borderId="1" pivotButton="0" quotePrefix="0" xfId="0"/>
    <xf numFmtId="0" fontId="10" fillId="7" borderId="1" applyAlignment="1" pivotButton="0" quotePrefix="0" xfId="0">
      <alignment horizontal="right"/>
    </xf>
    <xf numFmtId="4" fontId="10" fillId="7" borderId="1" applyAlignment="1" pivotButton="0" quotePrefix="0" xfId="0">
      <alignment horizontal="right"/>
    </xf>
    <xf numFmtId="165" fontId="9" fillId="8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7" fillId="0" borderId="0" pivotButton="0" quotePrefix="0" xfId="0"/>
    <xf numFmtId="0" fontId="10" fillId="1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/>
    </xf>
    <xf numFmtId="0" fontId="9" fillId="8" borderId="1" applyAlignment="1" pivotButton="0" quotePrefix="0" xfId="0">
      <alignment horizontal="right"/>
    </xf>
    <xf numFmtId="4" fontId="9" fillId="8" borderId="1" applyAlignment="1" pivotButton="0" quotePrefix="0" xfId="0">
      <alignment horizontal="right"/>
    </xf>
    <xf numFmtId="0" fontId="9" fillId="9" borderId="1" applyAlignment="1" pivotButton="0" quotePrefix="0" xfId="0">
      <alignment horizontal="left"/>
    </xf>
    <xf numFmtId="0" fontId="9" fillId="9" borderId="1" applyAlignment="1" pivotButton="0" quotePrefix="0" xfId="0">
      <alignment horizontal="right"/>
    </xf>
    <xf numFmtId="4" fontId="9" fillId="9" borderId="1" applyAlignment="1" pivotButton="0" quotePrefix="0" xfId="0">
      <alignment horizontal="right"/>
    </xf>
    <xf numFmtId="0" fontId="11" fillId="11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4" fontId="11" fillId="11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left" vertical="center"/>
    </xf>
    <xf numFmtId="4" fontId="11" fillId="12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left" vertical="center"/>
    </xf>
    <xf numFmtId="4" fontId="12" fillId="13" borderId="1" applyAlignment="1" pivotButton="0" quotePrefix="0" xfId="0">
      <alignment horizontal="right" vertical="center"/>
    </xf>
    <xf numFmtId="0" fontId="13" fillId="14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0" fillId="14" borderId="1" applyAlignment="1" pivotButton="0" quotePrefix="0" xfId="0">
      <alignment horizontal="center" vertical="center" wrapText="1"/>
    </xf>
    <xf numFmtId="4" fontId="1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Transaction Volume (RM)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Trend'!C3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'Monthly Trend'!$A$4:$A$15</f>
            </numRef>
          </cat>
          <val>
            <numRef>
              <f>'Monthly Trend'!$C$4:$C$15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(RM)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Volume by Branch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'Branch Analysis'!C3</f>
            </strRef>
          </tx>
          <spPr>
            <a:solidFill>
              <a:srgbClr val="FFCC00"/>
            </a:solidFill>
            <a:ln>
              <a:prstDash val="solid"/>
            </a:ln>
          </spPr>
          <cat>
            <numRef>
              <f>'Branch Analysis'!$A$4:$A$8</f>
            </numRef>
          </cat>
          <val>
            <numRef>
              <f>'Branch Analysis'!$C$4:$C$8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Volume (RM)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Transaction Mix by Type</a:t>
            </a:r>
          </a:p>
        </rich>
      </tx>
    </title>
    <plotArea>
      <pieChart>
        <varyColors val="1"/>
        <ser>
          <idx val="0"/>
          <order val="0"/>
          <tx>
            <strRef>
              <f>'Transaction Breakdown'!C4</f>
            </strRef>
          </tx>
          <spPr>
            <a:ln>
              <a:prstDash val="solid"/>
            </a:ln>
          </spPr>
          <cat>
            <numRef>
              <f>'Transaction Breakdown'!$A$5:$A$9</f>
            </numRef>
          </cat>
          <val>
            <numRef>
              <f>'Transaction Breakdown'!$C$5:$C$9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Volume vs Transactions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Analysis'!C3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'Segment Analysis'!$A$4:$A$6</f>
            </numRef>
          </cat>
          <val>
            <numRef>
              <f>'Segment Analysis'!$C$4:$C$6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FFCC00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0" customHeight="1">
      <c r="A1" s="1" t="inlineStr">
        <is>
          <t>CUSTOMER  |  TRANSACTION ANALYTICS REPORT</t>
        </is>
      </c>
    </row>
    <row r="2" ht="30" customHeight="1"/>
    <row r="3" ht="20" customHeight="1"/>
    <row r="4" ht="22" customHeight="1">
      <c r="A4" s="2" t="inlineStr">
        <is>
          <t>Full Year 2024  ·  Generated: 05 May 2026</t>
        </is>
      </c>
    </row>
    <row r="6" ht="22" customHeight="1">
      <c r="A6" s="3" t="inlineStr">
        <is>
          <t>EXECUTIVE SUMMARY</t>
        </is>
      </c>
    </row>
    <row r="8" ht="18" customHeight="1">
      <c r="B8" s="4" t="inlineStr">
        <is>
          <t>Total Transactions</t>
        </is>
      </c>
      <c r="D8" s="5" t="inlineStr">
        <is>
          <t>Total Volume (RM)</t>
        </is>
      </c>
      <c r="F8" s="4" t="inlineStr">
        <is>
          <t>Avg Transaction (RM)</t>
        </is>
      </c>
      <c r="H8" s="5" t="inlineStr">
        <is>
          <t>Unique Customers</t>
        </is>
      </c>
      <c r="J8" s="6" t="inlineStr">
        <is>
          <t>Anomalies Flagged</t>
        </is>
      </c>
    </row>
    <row r="9" ht="32" customHeight="1">
      <c r="B9" s="7" t="inlineStr">
        <is>
          <t>4,853</t>
        </is>
      </c>
      <c r="D9" s="8" t="inlineStr">
        <is>
          <t>44,401,707.43</t>
        </is>
      </c>
      <c r="F9" s="7" t="inlineStr">
        <is>
          <t>9,149.33</t>
        </is>
      </c>
      <c r="H9" s="8" t="inlineStr">
        <is>
          <t>200</t>
        </is>
      </c>
      <c r="J9" s="9" t="inlineStr">
        <is>
          <t>75</t>
        </is>
      </c>
    </row>
    <row r="10" ht="16" customHeight="1">
      <c r="B10" s="10" t="inlineStr">
        <is>
          <t>Completed &amp; Pending</t>
        </is>
      </c>
      <c r="D10" s="11" t="inlineStr">
        <is>
          <t>Full year 2024</t>
        </is>
      </c>
      <c r="F10" s="10" t="inlineStr">
        <is>
          <t>Per transaction</t>
        </is>
      </c>
      <c r="H10" s="11" t="inlineStr">
        <is>
          <t>Active customers</t>
        </is>
      </c>
      <c r="J10" s="12" t="inlineStr">
        <is>
          <t>High-value outliers</t>
        </is>
      </c>
    </row>
    <row r="12" ht="20" customHeight="1">
      <c r="A12" s="13" t="inlineStr">
        <is>
          <t>REPORT CONTENTS</t>
        </is>
      </c>
    </row>
    <row r="13" ht="16" customHeight="1">
      <c r="B13" s="14" t="inlineStr">
        <is>
          <t>Monthly Trend</t>
        </is>
      </c>
      <c r="C13" s="15" t="inlineStr">
        <is>
          <t>Monthly transaction volume and count — Jan to Dec 2024</t>
        </is>
      </c>
    </row>
    <row r="14" ht="16" customHeight="1">
      <c r="B14" s="14" t="inlineStr">
        <is>
          <t>Branch Analysis</t>
        </is>
      </c>
      <c r="C14" s="15" t="inlineStr">
        <is>
          <t>Volume and customer breakdown by branch</t>
        </is>
      </c>
    </row>
    <row r="15" ht="16" customHeight="1">
      <c r="B15" s="14" t="inlineStr">
        <is>
          <t>Transaction Breakdown</t>
        </is>
      </c>
      <c r="C15" s="15" t="inlineStr">
        <is>
          <t>Split by transaction type and product</t>
        </is>
      </c>
    </row>
    <row r="16" ht="16" customHeight="1">
      <c r="B16" s="14" t="inlineStr">
        <is>
          <t>Segment Analysis</t>
        </is>
      </c>
      <c r="C16" s="15" t="inlineStr">
        <is>
          <t>Retail, SME, and Wealth Management performance</t>
        </is>
      </c>
    </row>
    <row r="17" ht="16" customHeight="1">
      <c r="B17" s="14" t="inlineStr">
        <is>
          <t>Top Customers</t>
        </is>
      </c>
      <c r="C17" s="15" t="inlineStr">
        <is>
          <t>Top 10 customers by total transaction volume</t>
        </is>
      </c>
    </row>
    <row r="18" ht="16" customHeight="1">
      <c r="B18" s="14" t="inlineStr">
        <is>
          <t>Anomaly Report</t>
        </is>
      </c>
      <c r="C18" s="15" t="inlineStr">
        <is>
          <t>Transactions flagged as statistical outliers (&gt;3σ)</t>
        </is>
      </c>
    </row>
  </sheetData>
  <mergeCells count="4">
    <mergeCell ref="A6:J6"/>
    <mergeCell ref="A12:J12"/>
    <mergeCell ref="A4:J4"/>
    <mergeCell ref="A1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22" customWidth="1" min="4" max="4"/>
    <col width="20" customWidth="1" min="5" max="5"/>
  </cols>
  <sheetData>
    <row r="1" ht="24" customHeight="1">
      <c r="A1" s="16" t="inlineStr">
        <is>
          <t>Monthly Transaction Trend — 2024</t>
        </is>
      </c>
    </row>
    <row r="3" ht="28" customHeight="1">
      <c r="A3" s="17" t="inlineStr">
        <is>
          <t>Month</t>
        </is>
      </c>
      <c r="B3" s="17" t="inlineStr">
        <is>
          <t>Transactions</t>
        </is>
      </c>
      <c r="C3" s="17" t="inlineStr">
        <is>
          <t>Volume (RM)</t>
        </is>
      </c>
      <c r="D3" s="17" t="inlineStr">
        <is>
          <t>MoM Volume Change (%)</t>
        </is>
      </c>
      <c r="E3" s="17" t="inlineStr">
        <is>
          <t>MoM Txn Change (%)</t>
        </is>
      </c>
    </row>
    <row r="4">
      <c r="A4" s="18" t="inlineStr">
        <is>
          <t>Jan 2024</t>
        </is>
      </c>
      <c r="B4" s="19" t="n">
        <v>418</v>
      </c>
      <c r="C4" s="20" t="n">
        <v>3599226.95</v>
      </c>
      <c r="D4" s="18" t="n"/>
      <c r="E4" s="18" t="n"/>
    </row>
    <row r="5">
      <c r="A5" s="21" t="inlineStr">
        <is>
          <t>Feb 2024</t>
        </is>
      </c>
      <c r="B5" s="22" t="n">
        <v>371</v>
      </c>
      <c r="C5" s="23" t="n">
        <v>2663228.72</v>
      </c>
      <c r="D5" s="24">
        <f>IF(C4=0,"-",(C5-C4)/C4)</f>
        <v/>
      </c>
      <c r="E5" s="24">
        <f>IF(B4=0,"-",(B5-B4)/B4)</f>
        <v/>
      </c>
    </row>
    <row r="6">
      <c r="A6" s="18" t="inlineStr">
        <is>
          <t>Mar 2024</t>
        </is>
      </c>
      <c r="B6" s="19" t="n">
        <v>440</v>
      </c>
      <c r="C6" s="20" t="n">
        <v>4415100.16</v>
      </c>
      <c r="D6" s="25">
        <f>IF(C5=0,"-",(C6-C5)/C5)</f>
        <v/>
      </c>
      <c r="E6" s="25">
        <f>IF(B5=0,"-",(B6-B5)/B5)</f>
        <v/>
      </c>
    </row>
    <row r="7">
      <c r="A7" s="21" t="inlineStr">
        <is>
          <t>Apr 2024</t>
        </is>
      </c>
      <c r="B7" s="22" t="n">
        <v>395</v>
      </c>
      <c r="C7" s="23" t="n">
        <v>3731998.52</v>
      </c>
      <c r="D7" s="24">
        <f>IF(C6=0,"-",(C7-C6)/C6)</f>
        <v/>
      </c>
      <c r="E7" s="24">
        <f>IF(B6=0,"-",(B7-B6)/B6)</f>
        <v/>
      </c>
    </row>
    <row r="8">
      <c r="A8" s="18" t="inlineStr">
        <is>
          <t>May 2024</t>
        </is>
      </c>
      <c r="B8" s="19" t="n">
        <v>375</v>
      </c>
      <c r="C8" s="20" t="n">
        <v>3005773.44</v>
      </c>
      <c r="D8" s="25">
        <f>IF(C7=0,"-",(C8-C7)/C7)</f>
        <v/>
      </c>
      <c r="E8" s="25">
        <f>IF(B7=0,"-",(B8-B7)/B7)</f>
        <v/>
      </c>
    </row>
    <row r="9">
      <c r="A9" s="21" t="inlineStr">
        <is>
          <t>Jun 2024</t>
        </is>
      </c>
      <c r="B9" s="22" t="n">
        <v>411</v>
      </c>
      <c r="C9" s="23" t="n">
        <v>4562966.99</v>
      </c>
      <c r="D9" s="24">
        <f>IF(C8=0,"-",(C9-C8)/C8)</f>
        <v/>
      </c>
      <c r="E9" s="24">
        <f>IF(B8=0,"-",(B9-B8)/B8)</f>
        <v/>
      </c>
    </row>
    <row r="10">
      <c r="A10" s="18" t="inlineStr">
        <is>
          <t>Jul 2024</t>
        </is>
      </c>
      <c r="B10" s="19" t="n">
        <v>408</v>
      </c>
      <c r="C10" s="20" t="n">
        <v>3387879.83</v>
      </c>
      <c r="D10" s="25">
        <f>IF(C9=0,"-",(C10-C9)/C9)</f>
        <v/>
      </c>
      <c r="E10" s="25">
        <f>IF(B9=0,"-",(B10-B9)/B9)</f>
        <v/>
      </c>
    </row>
    <row r="11">
      <c r="A11" s="21" t="inlineStr">
        <is>
          <t>Aug 2024</t>
        </is>
      </c>
      <c r="B11" s="22" t="n">
        <v>400</v>
      </c>
      <c r="C11" s="23" t="n">
        <v>4570168.77</v>
      </c>
      <c r="D11" s="24">
        <f>IF(C10=0,"-",(C11-C10)/C10)</f>
        <v/>
      </c>
      <c r="E11" s="24">
        <f>IF(B10=0,"-",(B11-B10)/B10)</f>
        <v/>
      </c>
    </row>
    <row r="12">
      <c r="A12" s="18" t="inlineStr">
        <is>
          <t>Sep 2024</t>
        </is>
      </c>
      <c r="B12" s="19" t="n">
        <v>384</v>
      </c>
      <c r="C12" s="20" t="n">
        <v>3812031.98</v>
      </c>
      <c r="D12" s="25">
        <f>IF(C11=0,"-",(C12-C11)/C11)</f>
        <v/>
      </c>
      <c r="E12" s="25">
        <f>IF(B11=0,"-",(B12-B11)/B11)</f>
        <v/>
      </c>
    </row>
    <row r="13">
      <c r="A13" s="21" t="inlineStr">
        <is>
          <t>Oct 2024</t>
        </is>
      </c>
      <c r="B13" s="22" t="n">
        <v>430</v>
      </c>
      <c r="C13" s="23" t="n">
        <v>3165025.04</v>
      </c>
      <c r="D13" s="24">
        <f>IF(C12=0,"-",(C13-C12)/C12)</f>
        <v/>
      </c>
      <c r="E13" s="24">
        <f>IF(B12=0,"-",(B13-B12)/B12)</f>
        <v/>
      </c>
    </row>
    <row r="14">
      <c r="A14" s="18" t="inlineStr">
        <is>
          <t>Nov 2024</t>
        </is>
      </c>
      <c r="B14" s="19" t="n">
        <v>412</v>
      </c>
      <c r="C14" s="20" t="n">
        <v>3898668.74</v>
      </c>
      <c r="D14" s="25">
        <f>IF(C13=0,"-",(C14-C13)/C13)</f>
        <v/>
      </c>
      <c r="E14" s="25">
        <f>IF(B13=0,"-",(B14-B13)/B13)</f>
        <v/>
      </c>
    </row>
    <row r="15">
      <c r="A15" s="21" t="inlineStr">
        <is>
          <t>Dec 2024</t>
        </is>
      </c>
      <c r="B15" s="22" t="n">
        <v>409</v>
      </c>
      <c r="C15" s="23" t="n">
        <v>3589638.29</v>
      </c>
      <c r="D15" s="24">
        <f>IF(C14=0,"-",(C15-C14)/C14)</f>
        <v/>
      </c>
      <c r="E15" s="24">
        <f>IF(B14=0,"-",(B15-B14)/B14)</f>
        <v/>
      </c>
    </row>
    <row r="16">
      <c r="A16" s="26" t="inlineStr">
        <is>
          <t>TOTAL</t>
        </is>
      </c>
      <c r="B16" s="27">
        <f>SUM(B4:B15)</f>
        <v/>
      </c>
      <c r="C16" s="28">
        <f>SUM(C4:C15)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6" t="inlineStr">
        <is>
          <t>Branch Performance — Full Year 2024</t>
        </is>
      </c>
    </row>
    <row r="3">
      <c r="A3" s="17" t="inlineStr">
        <is>
          <t>Branch</t>
        </is>
      </c>
      <c r="B3" s="17" t="inlineStr">
        <is>
          <t>Transactions</t>
        </is>
      </c>
      <c r="C3" s="17" t="inlineStr">
        <is>
          <t>Total Volume (RM)</t>
        </is>
      </c>
      <c r="D3" s="17" t="inlineStr">
        <is>
          <t>Unique Customers</t>
        </is>
      </c>
      <c r="E3" s="17" t="inlineStr">
        <is>
          <t>Avg Txn (RM)</t>
        </is>
      </c>
      <c r="F3" s="17" t="inlineStr">
        <is>
          <t>Volume Share (%)</t>
        </is>
      </c>
    </row>
    <row r="4">
      <c r="A4" s="18" t="inlineStr">
        <is>
          <t>Penang</t>
        </is>
      </c>
      <c r="B4" s="19" t="n">
        <v>950</v>
      </c>
      <c r="C4" s="20" t="n">
        <v>11868524.12</v>
      </c>
      <c r="D4" s="19" t="n">
        <v>39</v>
      </c>
      <c r="E4" s="20" t="n">
        <v>12493.18</v>
      </c>
      <c r="F4" s="29" t="n">
        <v>26.7</v>
      </c>
    </row>
    <row r="5">
      <c r="A5" s="21" t="inlineStr">
        <is>
          <t>Ipoh</t>
        </is>
      </c>
      <c r="B5" s="22" t="n">
        <v>1068</v>
      </c>
      <c r="C5" s="23" t="n">
        <v>9803455.5</v>
      </c>
      <c r="D5" s="22" t="n">
        <v>42</v>
      </c>
      <c r="E5" s="23" t="n">
        <v>9179.27</v>
      </c>
      <c r="F5" s="30" t="n">
        <v>22.1</v>
      </c>
    </row>
    <row r="6">
      <c r="A6" s="18" t="inlineStr">
        <is>
          <t>Petaling Jaya</t>
        </is>
      </c>
      <c r="B6" s="19" t="n">
        <v>964</v>
      </c>
      <c r="C6" s="20" t="n">
        <v>8283218.59</v>
      </c>
      <c r="D6" s="19" t="n">
        <v>40</v>
      </c>
      <c r="E6" s="20" t="n">
        <v>8592.549999999999</v>
      </c>
      <c r="F6" s="29" t="n">
        <v>18.7</v>
      </c>
    </row>
    <row r="7">
      <c r="A7" s="21" t="inlineStr">
        <is>
          <t>Johor Bahru</t>
        </is>
      </c>
      <c r="B7" s="22" t="n">
        <v>1092</v>
      </c>
      <c r="C7" s="23" t="n">
        <v>7424228.28</v>
      </c>
      <c r="D7" s="22" t="n">
        <v>46</v>
      </c>
      <c r="E7" s="23" t="n">
        <v>6798.74</v>
      </c>
      <c r="F7" s="30" t="n">
        <v>16.7</v>
      </c>
    </row>
    <row r="8">
      <c r="A8" s="18" t="inlineStr">
        <is>
          <t>Kuala Lumpur</t>
        </is>
      </c>
      <c r="B8" s="19" t="n">
        <v>779</v>
      </c>
      <c r="C8" s="20" t="n">
        <v>7022280.94</v>
      </c>
      <c r="D8" s="19" t="n">
        <v>33</v>
      </c>
      <c r="E8" s="20" t="n">
        <v>9014.48</v>
      </c>
      <c r="F8" s="29" t="n">
        <v>15.8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2" customWidth="1" min="4" max="4"/>
    <col width="4" customWidth="1" min="5" max="5"/>
    <col width="24" customWidth="1" min="6" max="6"/>
    <col width="12" customWidth="1" min="7" max="7"/>
    <col width="20" customWidth="1" min="8" max="8"/>
  </cols>
  <sheetData>
    <row r="1" ht="24" customHeight="1">
      <c r="A1" s="16" t="inlineStr">
        <is>
          <t>Transaction Breakdown — By Type &amp; Product</t>
        </is>
      </c>
    </row>
    <row r="3">
      <c r="A3" s="31" t="inlineStr">
        <is>
          <t>BY TRANSACTION TYPE</t>
        </is>
      </c>
      <c r="F3" s="31" t="inlineStr">
        <is>
          <t>BY PRODUCT</t>
        </is>
      </c>
    </row>
    <row r="4">
      <c r="A4" s="32" t="inlineStr">
        <is>
          <t>Product</t>
        </is>
      </c>
      <c r="B4" s="32" t="inlineStr">
        <is>
          <t>Count</t>
        </is>
      </c>
      <c r="C4" s="32" t="inlineStr">
        <is>
          <t>Volume (RM)</t>
        </is>
      </c>
      <c r="D4" s="17" t="inlineStr">
        <is>
          <t>Share (%)</t>
        </is>
      </c>
    </row>
    <row r="5">
      <c r="A5" s="18" t="inlineStr">
        <is>
          <t>Loan Repayment</t>
        </is>
      </c>
      <c r="B5" s="19" t="n">
        <v>1011</v>
      </c>
      <c r="C5" s="20" t="n">
        <v>10824389.05</v>
      </c>
      <c r="D5" s="19" t="n">
        <v>24.4</v>
      </c>
      <c r="F5" s="33" t="inlineStr">
        <is>
          <t>Personal Loan</t>
        </is>
      </c>
      <c r="G5" s="34" t="n">
        <v>949</v>
      </c>
      <c r="H5" s="35" t="n">
        <v>9477404.34</v>
      </c>
    </row>
    <row r="6">
      <c r="A6" s="21" t="inlineStr">
        <is>
          <t>Transfer</t>
        </is>
      </c>
      <c r="B6" s="22" t="n">
        <v>943</v>
      </c>
      <c r="C6" s="23" t="n">
        <v>9027837.279999999</v>
      </c>
      <c r="D6" s="22" t="n">
        <v>20.3</v>
      </c>
      <c r="F6" s="36" t="inlineStr">
        <is>
          <t>Savings Account</t>
        </is>
      </c>
      <c r="G6" s="37" t="n">
        <v>988</v>
      </c>
      <c r="H6" s="38" t="n">
        <v>8831288.300000001</v>
      </c>
    </row>
    <row r="7">
      <c r="A7" s="18" t="inlineStr">
        <is>
          <t>Deposit</t>
        </is>
      </c>
      <c r="B7" s="19" t="n">
        <v>996</v>
      </c>
      <c r="C7" s="20" t="n">
        <v>8806233.77</v>
      </c>
      <c r="D7" s="19" t="n">
        <v>19.8</v>
      </c>
      <c r="F7" s="33" t="inlineStr">
        <is>
          <t>Fixed Deposit</t>
        </is>
      </c>
      <c r="G7" s="34" t="n">
        <v>966</v>
      </c>
      <c r="H7" s="35" t="n">
        <v>8792553.359999999</v>
      </c>
    </row>
    <row r="8">
      <c r="A8" s="21" t="inlineStr">
        <is>
          <t>Withdrawal</t>
        </is>
      </c>
      <c r="B8" s="22" t="n">
        <v>933</v>
      </c>
      <c r="C8" s="23" t="n">
        <v>8164976.92</v>
      </c>
      <c r="D8" s="22" t="n">
        <v>18.4</v>
      </c>
      <c r="F8" s="36" t="inlineStr">
        <is>
          <t>Credit Card</t>
        </is>
      </c>
      <c r="G8" s="37" t="n">
        <v>999</v>
      </c>
      <c r="H8" s="38" t="n">
        <v>8763574.16</v>
      </c>
    </row>
    <row r="9">
      <c r="A9" s="18" t="inlineStr">
        <is>
          <t>Payment</t>
        </is>
      </c>
      <c r="B9" s="19" t="n">
        <v>970</v>
      </c>
      <c r="C9" s="20" t="n">
        <v>7578270.41</v>
      </c>
      <c r="D9" s="19" t="n">
        <v>17.1</v>
      </c>
      <c r="F9" s="33" t="inlineStr">
        <is>
          <t>Current Account</t>
        </is>
      </c>
      <c r="G9" s="34" t="n">
        <v>951</v>
      </c>
      <c r="H9" s="35" t="n">
        <v>8536887.27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0" customWidth="1" min="4" max="4"/>
    <col width="26" customWidth="1" min="5" max="5"/>
  </cols>
  <sheetData>
    <row r="1" ht="24" customHeight="1">
      <c r="A1" s="16" t="inlineStr">
        <is>
          <t>Customer Segment Analysis — 2024</t>
        </is>
      </c>
    </row>
    <row r="3">
      <c r="A3" s="17" t="inlineStr">
        <is>
          <t>Segment</t>
        </is>
      </c>
      <c r="B3" s="17" t="inlineStr">
        <is>
          <t>Transactions</t>
        </is>
      </c>
      <c r="C3" s="17" t="inlineStr">
        <is>
          <t>Total Volume (RM)</t>
        </is>
      </c>
      <c r="D3" s="17" t="inlineStr">
        <is>
          <t>Unique Customers</t>
        </is>
      </c>
      <c r="E3" s="17" t="inlineStr">
        <is>
          <t>Avg Volume/Customer (RM)</t>
        </is>
      </c>
    </row>
    <row r="4">
      <c r="A4" s="18" t="inlineStr">
        <is>
          <t>Retail</t>
        </is>
      </c>
      <c r="B4" s="19" t="n">
        <v>1511</v>
      </c>
      <c r="C4" s="20" t="n">
        <v>4496261.69</v>
      </c>
      <c r="D4" s="19" t="n">
        <v>64</v>
      </c>
      <c r="E4" s="20" t="n">
        <v>70254.09</v>
      </c>
    </row>
    <row r="5">
      <c r="A5" s="21" t="inlineStr">
        <is>
          <t>SME</t>
        </is>
      </c>
      <c r="B5" s="22" t="n">
        <v>1715</v>
      </c>
      <c r="C5" s="23" t="n">
        <v>11736373.9</v>
      </c>
      <c r="D5" s="22" t="n">
        <v>68</v>
      </c>
      <c r="E5" s="23" t="n">
        <v>172593.73</v>
      </c>
    </row>
    <row r="6">
      <c r="A6" s="18" t="inlineStr">
        <is>
          <t>Wealth Management</t>
        </is>
      </c>
      <c r="B6" s="19" t="n">
        <v>1627</v>
      </c>
      <c r="C6" s="20" t="n">
        <v>28169071.84</v>
      </c>
      <c r="D6" s="19" t="n">
        <v>68</v>
      </c>
      <c r="E6" s="20" t="n">
        <v>414251.06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9000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</cols>
  <sheetData>
    <row r="1" ht="24" customHeight="1">
      <c r="A1" s="16" t="inlineStr">
        <is>
          <t>Top 10 Customers by Transaction Volume — 2024</t>
        </is>
      </c>
    </row>
    <row r="3">
      <c r="A3" s="17" t="inlineStr">
        <is>
          <t>Rank</t>
        </is>
      </c>
      <c r="B3" s="17" t="inlineStr">
        <is>
          <t>Customer ID</t>
        </is>
      </c>
      <c r="C3" s="17" t="inlineStr">
        <is>
          <t>Transactions</t>
        </is>
      </c>
      <c r="D3" s="17" t="inlineStr">
        <is>
          <t>Total Volume (RM)</t>
        </is>
      </c>
    </row>
    <row r="4">
      <c r="A4" s="39" t="n">
        <v>1</v>
      </c>
      <c r="B4" s="40" t="inlineStr">
        <is>
          <t>CUS0026</t>
        </is>
      </c>
      <c r="C4" s="39" t="n">
        <v>39</v>
      </c>
      <c r="D4" s="41" t="n">
        <v>1036607</v>
      </c>
    </row>
    <row r="5">
      <c r="A5" s="42" t="n">
        <v>2</v>
      </c>
      <c r="B5" s="43" t="inlineStr">
        <is>
          <t>CUS0037</t>
        </is>
      </c>
      <c r="C5" s="42" t="n">
        <v>20</v>
      </c>
      <c r="D5" s="44" t="n">
        <v>954227.05</v>
      </c>
    </row>
    <row r="6">
      <c r="A6" s="45" t="n">
        <v>3</v>
      </c>
      <c r="B6" s="46" t="inlineStr">
        <is>
          <t>CUS0022</t>
        </is>
      </c>
      <c r="C6" s="45" t="n">
        <v>14</v>
      </c>
      <c r="D6" s="47" t="n">
        <v>792516.65</v>
      </c>
    </row>
    <row r="7">
      <c r="A7" s="22" t="n">
        <v>4</v>
      </c>
      <c r="B7" s="21" t="inlineStr">
        <is>
          <t>CUS0067</t>
        </is>
      </c>
      <c r="C7" s="22" t="n">
        <v>31</v>
      </c>
      <c r="D7" s="23" t="n">
        <v>755005.1899999999</v>
      </c>
    </row>
    <row r="8">
      <c r="A8" s="19" t="n">
        <v>5</v>
      </c>
      <c r="B8" s="18" t="inlineStr">
        <is>
          <t>CUS0179</t>
        </is>
      </c>
      <c r="C8" s="19" t="n">
        <v>36</v>
      </c>
      <c r="D8" s="20" t="n">
        <v>734983.6899999999</v>
      </c>
    </row>
    <row r="9">
      <c r="A9" s="22" t="n">
        <v>6</v>
      </c>
      <c r="B9" s="21" t="inlineStr">
        <is>
          <t>CUS0001</t>
        </is>
      </c>
      <c r="C9" s="22" t="n">
        <v>24</v>
      </c>
      <c r="D9" s="23" t="n">
        <v>729373.39</v>
      </c>
    </row>
    <row r="10">
      <c r="A10" s="19" t="n">
        <v>7</v>
      </c>
      <c r="B10" s="18" t="inlineStr">
        <is>
          <t>CUS0093</t>
        </is>
      </c>
      <c r="C10" s="19" t="n">
        <v>27</v>
      </c>
      <c r="D10" s="20" t="n">
        <v>729016.09</v>
      </c>
    </row>
    <row r="11">
      <c r="A11" s="22" t="n">
        <v>8</v>
      </c>
      <c r="B11" s="21" t="inlineStr">
        <is>
          <t>CUS0017</t>
        </is>
      </c>
      <c r="C11" s="22" t="n">
        <v>21</v>
      </c>
      <c r="D11" s="23" t="n">
        <v>709897.55</v>
      </c>
    </row>
    <row r="12">
      <c r="A12" s="19" t="n">
        <v>9</v>
      </c>
      <c r="B12" s="18" t="inlineStr">
        <is>
          <t>CUS0059</t>
        </is>
      </c>
      <c r="C12" s="19" t="n">
        <v>24</v>
      </c>
      <c r="D12" s="20" t="n">
        <v>698764.5</v>
      </c>
    </row>
    <row r="13">
      <c r="A13" s="22" t="n">
        <v>10</v>
      </c>
      <c r="B13" s="21" t="inlineStr">
        <is>
          <t>CUS0075</t>
        </is>
      </c>
      <c r="C13" s="22" t="n">
        <v>26</v>
      </c>
      <c r="D13" s="23" t="n">
        <v>658260.89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8" customWidth="1" min="5" max="5"/>
    <col width="22" customWidth="1" min="6" max="6"/>
    <col width="18" customWidth="1" min="7" max="7"/>
  </cols>
  <sheetData>
    <row r="1" ht="24" customHeight="1">
      <c r="A1" s="48" t="inlineStr">
        <is>
          <t>Anomaly Report — High-Value Outlier Transactions (&gt;3σ)</t>
        </is>
      </c>
    </row>
    <row r="2" ht="18" customHeight="1">
      <c r="A2" s="49" t="inlineStr">
        <is>
          <t>Transactions exceeding 3 standard deviations from segment mean. Requires compliance review.</t>
        </is>
      </c>
    </row>
    <row r="4">
      <c r="A4" s="50" t="inlineStr">
        <is>
          <t>Txn ID</t>
        </is>
      </c>
      <c r="B4" s="50" t="inlineStr">
        <is>
          <t>Date</t>
        </is>
      </c>
      <c r="C4" s="50" t="inlineStr">
        <is>
          <t>Customer</t>
        </is>
      </c>
      <c r="D4" s="50" t="inlineStr">
        <is>
          <t>Segment</t>
        </is>
      </c>
      <c r="E4" s="50" t="inlineStr">
        <is>
          <t>Branch</t>
        </is>
      </c>
      <c r="F4" s="50" t="inlineStr">
        <is>
          <t>Type</t>
        </is>
      </c>
      <c r="G4" s="50" t="inlineStr">
        <is>
          <t>Amount (RM)</t>
        </is>
      </c>
    </row>
    <row r="5">
      <c r="A5" s="18" t="inlineStr">
        <is>
          <t>TXN000979</t>
        </is>
      </c>
      <c r="B5" s="18" t="inlineStr">
        <is>
          <t>03/03/2024</t>
        </is>
      </c>
      <c r="C5" s="18" t="inlineStr">
        <is>
          <t>CUS0001</t>
        </is>
      </c>
      <c r="D5" s="18" t="inlineStr">
        <is>
          <t>Wealth Management</t>
        </is>
      </c>
      <c r="E5" s="18" t="inlineStr">
        <is>
          <t>Kuala Lumpur</t>
        </is>
      </c>
      <c r="F5" s="18" t="inlineStr">
        <is>
          <t>Loan Repayment</t>
        </is>
      </c>
      <c r="G5" s="51" t="n">
        <v>500000</v>
      </c>
    </row>
    <row r="6">
      <c r="A6" s="21" t="inlineStr">
        <is>
          <t>TXN004590</t>
        </is>
      </c>
      <c r="B6" s="21" t="inlineStr">
        <is>
          <t>05/10/2024</t>
        </is>
      </c>
      <c r="C6" s="21" t="inlineStr">
        <is>
          <t>CUS0022</t>
        </is>
      </c>
      <c r="D6" s="21" t="inlineStr">
        <is>
          <t>Wealth Management</t>
        </is>
      </c>
      <c r="E6" s="21" t="inlineStr">
        <is>
          <t>Penang</t>
        </is>
      </c>
      <c r="F6" s="21" t="inlineStr">
        <is>
          <t>Deposit</t>
        </is>
      </c>
      <c r="G6" s="51" t="n">
        <v>500000</v>
      </c>
    </row>
    <row r="7">
      <c r="A7" s="18" t="inlineStr">
        <is>
          <t>TXN001061</t>
        </is>
      </c>
      <c r="B7" s="18" t="inlineStr">
        <is>
          <t>16/11/2024</t>
        </is>
      </c>
      <c r="C7" s="18" t="inlineStr">
        <is>
          <t>CUS0017</t>
        </is>
      </c>
      <c r="D7" s="18" t="inlineStr">
        <is>
          <t>Wealth Management</t>
        </is>
      </c>
      <c r="E7" s="18" t="inlineStr">
        <is>
          <t>Ipoh</t>
        </is>
      </c>
      <c r="F7" s="18" t="inlineStr">
        <is>
          <t>Transfer</t>
        </is>
      </c>
      <c r="G7" s="51" t="n">
        <v>430962.29</v>
      </c>
    </row>
    <row r="8">
      <c r="A8" s="21" t="inlineStr">
        <is>
          <t>TXN003665</t>
        </is>
      </c>
      <c r="B8" s="21" t="inlineStr">
        <is>
          <t>17/08/2024</t>
        </is>
      </c>
      <c r="C8" s="21" t="inlineStr">
        <is>
          <t>CUS0118</t>
        </is>
      </c>
      <c r="D8" s="21" t="inlineStr">
        <is>
          <t>Wealth Management</t>
        </is>
      </c>
      <c r="E8" s="21" t="inlineStr">
        <is>
          <t>Ipoh</t>
        </is>
      </c>
      <c r="F8" s="21" t="inlineStr">
        <is>
          <t>Transfer</t>
        </is>
      </c>
      <c r="G8" s="51" t="n">
        <v>409036.28</v>
      </c>
    </row>
    <row r="9">
      <c r="A9" s="18" t="inlineStr">
        <is>
          <t>TXN000057</t>
        </is>
      </c>
      <c r="B9" s="18" t="inlineStr">
        <is>
          <t>27/11/2024</t>
        </is>
      </c>
      <c r="C9" s="18" t="inlineStr">
        <is>
          <t>CUS0037</t>
        </is>
      </c>
      <c r="D9" s="18" t="inlineStr">
        <is>
          <t>Wealth Management</t>
        </is>
      </c>
      <c r="E9" s="18" t="inlineStr">
        <is>
          <t>Ipoh</t>
        </is>
      </c>
      <c r="F9" s="18" t="inlineStr">
        <is>
          <t>Loan Repayment</t>
        </is>
      </c>
      <c r="G9" s="51" t="n">
        <v>400769.92</v>
      </c>
    </row>
    <row r="10">
      <c r="A10" s="21" t="inlineStr">
        <is>
          <t>TXN003693</t>
        </is>
      </c>
      <c r="B10" s="21" t="inlineStr">
        <is>
          <t>23/08/2024</t>
        </is>
      </c>
      <c r="C10" s="21" t="inlineStr">
        <is>
          <t>CUS0026</t>
        </is>
      </c>
      <c r="D10" s="21" t="inlineStr">
        <is>
          <t>Wealth Management</t>
        </is>
      </c>
      <c r="E10" s="21" t="inlineStr">
        <is>
          <t>Petaling Jaya</t>
        </is>
      </c>
      <c r="F10" s="21" t="inlineStr">
        <is>
          <t>Loan Repayment</t>
        </is>
      </c>
      <c r="G10" s="51" t="n">
        <v>390484.24</v>
      </c>
    </row>
    <row r="11">
      <c r="A11" s="18" t="inlineStr">
        <is>
          <t>TXN003502</t>
        </is>
      </c>
      <c r="B11" s="18" t="inlineStr">
        <is>
          <t>13/06/2024</t>
        </is>
      </c>
      <c r="C11" s="18" t="inlineStr">
        <is>
          <t>CUS0072</t>
        </is>
      </c>
      <c r="D11" s="18" t="inlineStr">
        <is>
          <t>Wealth Management</t>
        </is>
      </c>
      <c r="E11" s="18" t="inlineStr">
        <is>
          <t>Petaling Jaya</t>
        </is>
      </c>
      <c r="F11" s="18" t="inlineStr">
        <is>
          <t>Loan Repayment</t>
        </is>
      </c>
      <c r="G11" s="51" t="n">
        <v>368892.65</v>
      </c>
    </row>
    <row r="12">
      <c r="A12" s="21" t="inlineStr">
        <is>
          <t>TXN001565</t>
        </is>
      </c>
      <c r="B12" s="21" t="inlineStr">
        <is>
          <t>06/09/2024</t>
        </is>
      </c>
      <c r="C12" s="21" t="inlineStr">
        <is>
          <t>CUS0067</t>
        </is>
      </c>
      <c r="D12" s="21" t="inlineStr">
        <is>
          <t>Wealth Management</t>
        </is>
      </c>
      <c r="E12" s="21" t="inlineStr">
        <is>
          <t>Petaling Jaya</t>
        </is>
      </c>
      <c r="F12" s="21" t="inlineStr">
        <is>
          <t>Transfer</t>
        </is>
      </c>
      <c r="G12" s="51" t="n">
        <v>364718.51</v>
      </c>
    </row>
    <row r="13">
      <c r="A13" s="18" t="inlineStr">
        <is>
          <t>TXN002373</t>
        </is>
      </c>
      <c r="B13" s="18" t="inlineStr">
        <is>
          <t>07/05/2024</t>
        </is>
      </c>
      <c r="C13" s="18" t="inlineStr">
        <is>
          <t>CUS0179</t>
        </is>
      </c>
      <c r="D13" s="18" t="inlineStr">
        <is>
          <t>Wealth Management</t>
        </is>
      </c>
      <c r="E13" s="18" t="inlineStr">
        <is>
          <t>Ipoh</t>
        </is>
      </c>
      <c r="F13" s="18" t="inlineStr">
        <is>
          <t>Deposit</t>
        </is>
      </c>
      <c r="G13" s="51" t="n">
        <v>360750.93</v>
      </c>
    </row>
    <row r="14">
      <c r="A14" s="21" t="inlineStr">
        <is>
          <t>TXN004552</t>
        </is>
      </c>
      <c r="B14" s="21" t="inlineStr">
        <is>
          <t>23/09/2024</t>
        </is>
      </c>
      <c r="C14" s="21" t="inlineStr">
        <is>
          <t>CUS0110</t>
        </is>
      </c>
      <c r="D14" s="21" t="inlineStr">
        <is>
          <t>Wealth Management</t>
        </is>
      </c>
      <c r="E14" s="21" t="inlineStr">
        <is>
          <t>Penang</t>
        </is>
      </c>
      <c r="F14" s="21" t="inlineStr">
        <is>
          <t>Loan Repayment</t>
        </is>
      </c>
      <c r="G14" s="51" t="n">
        <v>320935.38</v>
      </c>
    </row>
    <row r="15">
      <c r="A15" s="18" t="inlineStr">
        <is>
          <t>TXN001467</t>
        </is>
      </c>
      <c r="B15" s="18" t="inlineStr">
        <is>
          <t>08/09/2024</t>
        </is>
      </c>
      <c r="C15" s="18" t="inlineStr">
        <is>
          <t>CUS0191</t>
        </is>
      </c>
      <c r="D15" s="18" t="inlineStr">
        <is>
          <t>Wealth Management</t>
        </is>
      </c>
      <c r="E15" s="18" t="inlineStr">
        <is>
          <t>Kuala Lumpur</t>
        </is>
      </c>
      <c r="F15" s="18" t="inlineStr">
        <is>
          <t>Loan Repayment</t>
        </is>
      </c>
      <c r="G15" s="51" t="n">
        <v>297901.75</v>
      </c>
    </row>
    <row r="16">
      <c r="A16" s="21" t="inlineStr">
        <is>
          <t>TXN001542</t>
        </is>
      </c>
      <c r="B16" s="21" t="inlineStr">
        <is>
          <t>07/05/2024</t>
        </is>
      </c>
      <c r="C16" s="21" t="inlineStr">
        <is>
          <t>CUS0160</t>
        </is>
      </c>
      <c r="D16" s="21" t="inlineStr">
        <is>
          <t>Wealth Management</t>
        </is>
      </c>
      <c r="E16" s="21" t="inlineStr">
        <is>
          <t>Petaling Jaya</t>
        </is>
      </c>
      <c r="F16" s="21" t="inlineStr">
        <is>
          <t>Withdrawal</t>
        </is>
      </c>
      <c r="G16" s="51" t="n">
        <v>257714.64</v>
      </c>
    </row>
    <row r="17">
      <c r="A17" s="18" t="inlineStr">
        <is>
          <t>TXN001900</t>
        </is>
      </c>
      <c r="B17" s="18" t="inlineStr">
        <is>
          <t>20/10/2024</t>
        </is>
      </c>
      <c r="C17" s="18" t="inlineStr">
        <is>
          <t>CUS0045</t>
        </is>
      </c>
      <c r="D17" s="18" t="inlineStr">
        <is>
          <t>Wealth Management</t>
        </is>
      </c>
      <c r="E17" s="18" t="inlineStr">
        <is>
          <t>Kuala Lumpur</t>
        </is>
      </c>
      <c r="F17" s="18" t="inlineStr">
        <is>
          <t>Withdrawal</t>
        </is>
      </c>
      <c r="G17" s="51" t="n">
        <v>245279.54</v>
      </c>
    </row>
    <row r="18">
      <c r="A18" s="21" t="inlineStr">
        <is>
          <t>TXN004508</t>
        </is>
      </c>
      <c r="B18" s="21" t="inlineStr">
        <is>
          <t>27/06/2024</t>
        </is>
      </c>
      <c r="C18" s="21" t="inlineStr">
        <is>
          <t>CUS0151</t>
        </is>
      </c>
      <c r="D18" s="21" t="inlineStr">
        <is>
          <t>Wealth Management</t>
        </is>
      </c>
      <c r="E18" s="21" t="inlineStr">
        <is>
          <t>Ipoh</t>
        </is>
      </c>
      <c r="F18" s="21" t="inlineStr">
        <is>
          <t>Transfer</t>
        </is>
      </c>
      <c r="G18" s="51" t="n">
        <v>241358.98</v>
      </c>
    </row>
    <row r="19">
      <c r="A19" s="18" t="inlineStr">
        <is>
          <t>TXN000251</t>
        </is>
      </c>
      <c r="B19" s="18" t="inlineStr">
        <is>
          <t>06/08/2024</t>
        </is>
      </c>
      <c r="C19" s="18" t="inlineStr">
        <is>
          <t>CUS0137</t>
        </is>
      </c>
      <c r="D19" s="18" t="inlineStr">
        <is>
          <t>Wealth Management</t>
        </is>
      </c>
      <c r="E19" s="18" t="inlineStr">
        <is>
          <t>Penang</t>
        </is>
      </c>
      <c r="F19" s="18" t="inlineStr">
        <is>
          <t>Loan Repayment</t>
        </is>
      </c>
      <c r="G19" s="51" t="n">
        <v>239872.6</v>
      </c>
    </row>
    <row r="20">
      <c r="A20" s="21" t="inlineStr">
        <is>
          <t>TXN003698</t>
        </is>
      </c>
      <c r="B20" s="21" t="inlineStr">
        <is>
          <t>14/12/2024</t>
        </is>
      </c>
      <c r="C20" s="21" t="inlineStr">
        <is>
          <t>CUS0177</t>
        </is>
      </c>
      <c r="D20" s="21" t="inlineStr">
        <is>
          <t>Wealth Management</t>
        </is>
      </c>
      <c r="E20" s="21" t="inlineStr">
        <is>
          <t>Kuala Lumpur</t>
        </is>
      </c>
      <c r="F20" s="21" t="inlineStr">
        <is>
          <t>Deposit</t>
        </is>
      </c>
      <c r="G20" s="51" t="n">
        <v>217754.22</v>
      </c>
    </row>
    <row r="21">
      <c r="A21" s="18" t="inlineStr">
        <is>
          <t>TXN001253</t>
        </is>
      </c>
      <c r="B21" s="18" t="inlineStr">
        <is>
          <t>25/11/2024</t>
        </is>
      </c>
      <c r="C21" s="18" t="inlineStr">
        <is>
          <t>CUS0119</t>
        </is>
      </c>
      <c r="D21" s="18" t="inlineStr">
        <is>
          <t>SME</t>
        </is>
      </c>
      <c r="E21" s="18" t="inlineStr">
        <is>
          <t>Penang</t>
        </is>
      </c>
      <c r="F21" s="18" t="inlineStr">
        <is>
          <t>Deposit</t>
        </is>
      </c>
      <c r="G21" s="51" t="n">
        <v>217481.32</v>
      </c>
    </row>
    <row r="22">
      <c r="A22" s="21" t="inlineStr">
        <is>
          <t>TXN000160</t>
        </is>
      </c>
      <c r="B22" s="21" t="inlineStr">
        <is>
          <t>11/12/2024</t>
        </is>
      </c>
      <c r="C22" s="21" t="inlineStr">
        <is>
          <t>CUS0055</t>
        </is>
      </c>
      <c r="D22" s="21" t="inlineStr">
        <is>
          <t>SME</t>
        </is>
      </c>
      <c r="E22" s="21" t="inlineStr">
        <is>
          <t>Penang</t>
        </is>
      </c>
      <c r="F22" s="21" t="inlineStr">
        <is>
          <t>Loan Repayment</t>
        </is>
      </c>
      <c r="G22" s="51" t="n">
        <v>215929.36</v>
      </c>
    </row>
    <row r="23">
      <c r="A23" s="18" t="inlineStr">
        <is>
          <t>TXN002019</t>
        </is>
      </c>
      <c r="B23" s="18" t="inlineStr">
        <is>
          <t>17/04/2024</t>
        </is>
      </c>
      <c r="C23" s="18" t="inlineStr">
        <is>
          <t>CUS0031</t>
        </is>
      </c>
      <c r="D23" s="18" t="inlineStr">
        <is>
          <t>SME</t>
        </is>
      </c>
      <c r="E23" s="18" t="inlineStr">
        <is>
          <t>Penang</t>
        </is>
      </c>
      <c r="F23" s="18" t="inlineStr">
        <is>
          <t>Withdrawal</t>
        </is>
      </c>
      <c r="G23" s="51" t="n">
        <v>208634.99</v>
      </c>
    </row>
    <row r="24">
      <c r="A24" s="21" t="inlineStr">
        <is>
          <t>TXN002533</t>
        </is>
      </c>
      <c r="B24" s="21" t="inlineStr">
        <is>
          <t>05/06/2024</t>
        </is>
      </c>
      <c r="C24" s="21" t="inlineStr">
        <is>
          <t>CUS0093</t>
        </is>
      </c>
      <c r="D24" s="21" t="inlineStr">
        <is>
          <t>Wealth Management</t>
        </is>
      </c>
      <c r="E24" s="21" t="inlineStr">
        <is>
          <t>Penang</t>
        </is>
      </c>
      <c r="F24" s="21" t="inlineStr">
        <is>
          <t>Payment</t>
        </is>
      </c>
      <c r="G24" s="51" t="n">
        <v>198037.58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2026-05-05T10:35:28Z</dcterms:created>
  <dcterms:modified xsi:type="dcterms:W3CDTF">2026-05-05T10:35:28Z</dcterms:modified>
</cp:coreProperties>
</file>