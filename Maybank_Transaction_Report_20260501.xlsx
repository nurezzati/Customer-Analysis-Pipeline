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Monthly Trend" sheetId="2" state="visible" r:id="rId4"/>
    <sheet name="Branch Analysis" sheetId="3" state="visible" r:id="rId5"/>
    <sheet name="Transaction Breakdown" sheetId="4" state="visible" r:id="rId6"/>
    <sheet name="Segment Analysis" sheetId="5" state="visible" r:id="rId7"/>
    <sheet name="Top Customers" sheetId="6" state="visible" r:id="rId8"/>
    <sheet name="Anomaly Repor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<sst xmlns="http://schemas.openxmlformats.org/spreadsheetml/2006/main" count="232" uniqueCount="152">
  <si>
    <t xml:space="preserve">MAYBANK  |  BANK TRANSACTION ANALYTICS REPORT</t>
  </si>
  <si>
    <t xml:space="preserve">Full Year 2024  ·  Generated: 01 May 2026</t>
  </si>
  <si>
    <t xml:space="preserve">EXECUTIVE SUMMARY</t>
  </si>
  <si>
    <t xml:space="preserve">Total Transactions</t>
  </si>
  <si>
    <t xml:space="preserve">Total Volume (RM)</t>
  </si>
  <si>
    <t xml:space="preserve">Avg Transaction (RM)</t>
  </si>
  <si>
    <t xml:space="preserve">Unique Customers</t>
  </si>
  <si>
    <t xml:space="preserve">Anomalies Flagged</t>
  </si>
  <si>
    <t xml:space="preserve">4,853</t>
  </si>
  <si>
    <t xml:space="preserve">44,401,707.43</t>
  </si>
  <si>
    <t xml:space="preserve">9,149.33</t>
  </si>
  <si>
    <t xml:space="preserve">200</t>
  </si>
  <si>
    <t xml:space="preserve">75</t>
  </si>
  <si>
    <t xml:space="preserve">Completed &amp; Pending</t>
  </si>
  <si>
    <t xml:space="preserve">Full year 2024</t>
  </si>
  <si>
    <t xml:space="preserve">Per transaction</t>
  </si>
  <si>
    <t xml:space="preserve">Active customers</t>
  </si>
  <si>
    <t xml:space="preserve">High-value outliers</t>
  </si>
  <si>
    <t xml:space="preserve">REPORT CONTENTS</t>
  </si>
  <si>
    <t xml:space="preserve">Monthly Trend</t>
  </si>
  <si>
    <t xml:space="preserve">Monthly transaction volume and count — Jan to Dec 2024</t>
  </si>
  <si>
    <t xml:space="preserve">Branch Analysis</t>
  </si>
  <si>
    <t xml:space="preserve">Volume and customer breakdown by branch</t>
  </si>
  <si>
    <t xml:space="preserve">Transaction Breakdown</t>
  </si>
  <si>
    <t xml:space="preserve">Split by transaction type and product</t>
  </si>
  <si>
    <t xml:space="preserve">Segment Analysis</t>
  </si>
  <si>
    <t xml:space="preserve">Retail, SME, and Wealth Management performance</t>
  </si>
  <si>
    <t xml:space="preserve">Top Customers</t>
  </si>
  <si>
    <t xml:space="preserve">Top 10 customers by total transaction volume</t>
  </si>
  <si>
    <t xml:space="preserve">Anomaly Report</t>
  </si>
  <si>
    <t xml:space="preserve">Transactions flagged as statistical outliers (&gt;3σ)</t>
  </si>
  <si>
    <t xml:space="preserve">Monthly Transaction Trend — 2024</t>
  </si>
  <si>
    <t xml:space="preserve">Month</t>
  </si>
  <si>
    <t xml:space="preserve">Transactions</t>
  </si>
  <si>
    <t xml:space="preserve">Volume (RM)</t>
  </si>
  <si>
    <t xml:space="preserve">MoM Volume Change (%)</t>
  </si>
  <si>
    <t xml:space="preserve">MoM Txn Change (%)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</si>
  <si>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</si>
  <si>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</si>
  <si>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</si>
  <si>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</si>
  <si>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</si>
  <si>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</si>
  <si>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</si>
  <si>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</si>
  <si>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</si>
  <si>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</si>
  <si>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</si>
  <si>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</si>
  <si>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TOTAL</t>
  </si>
  <si>
    <t xml:space="preserve">Branch Performance — Full Year 2024</t>
  </si>
  <si>
    <t xml:space="preserve">Branch</t>
  </si>
  <si>
    <t xml:space="preserve">Avg Txn (RM)</t>
  </si>
  <si>
    <t xml:space="preserve">Volume Share (%)</t>
  </si>
  <si>
    <t xml:space="preserve">Penang</t>
  </si>
  <si>
    <t xml:space="preserve">Ipoh</t>
  </si>
  <si>
    <t xml:space="preserve">Petaling Jaya</t>
  </si>
  <si>
    <t xml:space="preserve">Johor Bahru</t>
  </si>
  <si>
    <t xml:space="preserve">Kuala Lumpur</t>
  </si>
  <si>
    <t xml:space="preserve">Transaction Breakdown — By Type &amp; Product</t>
  </si>
  <si>
    <t xml:space="preserve">BY TRANSACTION TYPE</t>
  </si>
  <si>
    <t xml:space="preserve">BY PRODUCT</t>
  </si>
  <si>
    <t xml:space="preserve">Product</t>
  </si>
  <si>
    <t xml:space="preserve">Count</t>
  </si>
  <si>
    <t xml:space="preserve">Share (%)</t>
  </si>
  <si>
    <t xml:space="preserve">Loan Repayment</t>
  </si>
  <si>
    <t xml:space="preserve">Personal Loan</t>
  </si>
  <si>
    <t xml:space="preserve">Transfer</t>
  </si>
  <si>
    <t xml:space="preserve">Savings Account</t>
  </si>
  <si>
    <t xml:space="preserve">Deposit</t>
  </si>
  <si>
    <t xml:space="preserve">Fixed Deposit</t>
  </si>
  <si>
    <t xml:space="preserve">Withdrawal</t>
  </si>
  <si>
    <t xml:space="preserve">Credit Card</t>
  </si>
  <si>
    <t xml:space="preserve">Payment</t>
  </si>
  <si>
    <t xml:space="preserve">Current Account</t>
  </si>
  <si>
    <t xml:space="preserve">Customer Segment Analysis — 2024</t>
  </si>
  <si>
    <t xml:space="preserve">Segment</t>
  </si>
  <si>
    <t xml:space="preserve">Avg Volume/Customer (RM)</t>
  </si>
  <si>
    <t xml:space="preserve">Retail</t>
  </si>
  <si>
    <t xml:space="preserve">SME</t>
  </si>
  <si>
    <t xml:space="preserve">Wealth Management</t>
  </si>
  <si>
    <t xml:space="preserve">Top 10 Customers by Transaction Volume — 2024</t>
  </si>
  <si>
    <t xml:space="preserve">Rank</t>
  </si>
  <si>
    <t xml:space="preserve">Customer ID</t>
  </si>
  <si>
    <t xml:space="preserve">CUS0026</t>
  </si>
  <si>
    <t xml:space="preserve">CUS0037</t>
  </si>
  <si>
    <t xml:space="preserve">CUS0022</t>
  </si>
  <si>
    <t xml:space="preserve">CUS0067</t>
  </si>
  <si>
    <t xml:space="preserve">CUS0179</t>
  </si>
  <si>
    <t xml:space="preserve">CUS0001</t>
  </si>
  <si>
    <t xml:space="preserve">CUS0093</t>
  </si>
  <si>
    <t xml:space="preserve">CUS0017</t>
  </si>
  <si>
    <t xml:space="preserve">CUS0059</t>
  </si>
  <si>
    <t xml:space="preserve">CUS0075</t>
  </si>
  <si>
    <t xml:space="preserve">Anomaly Report — High-Value Outlier Transactions (&gt;3σ)</t>
  </si>
  <si>
    <t xml:space="preserve">Transactions exceeding 3 standard deviations from segment mean. Requires compliance review.</t>
  </si>
  <si>
    <t xml:space="preserve">Txn ID</t>
  </si>
  <si>
    <t xml:space="preserve">Date</t>
  </si>
  <si>
    <t xml:space="preserve">Customer</t>
  </si>
  <si>
    <t xml:space="preserve">Type</t>
  </si>
  <si>
    <t xml:space="preserve">Amount (RM)</t>
  </si>
  <si>
    <t xml:space="preserve">TXN000979</t>
  </si>
  <si>
    <t xml:space="preserve">03/03/2024</t>
  </si>
  <si>
    <t xml:space="preserve">TXN004590</t>
  </si>
  <si>
    <t xml:space="preserve">05/10/2024</t>
  </si>
  <si>
    <t xml:space="preserve">TXN001061</t>
  </si>
  <si>
    <t xml:space="preserve">16/11/2024</t>
  </si>
  <si>
    <t xml:space="preserve">TXN003665</t>
  </si>
  <si>
    <t xml:space="preserve">17/08/2024</t>
  </si>
  <si>
    <t xml:space="preserve">CUS0118</t>
  </si>
  <si>
    <t xml:space="preserve">TXN000057</t>
  </si>
  <si>
    <t xml:space="preserve">27/11/2024</t>
  </si>
  <si>
    <t xml:space="preserve">TXN003693</t>
  </si>
  <si>
    <t xml:space="preserve">23/08/2024</t>
  </si>
  <si>
    <t xml:space="preserve">TXN003502</t>
  </si>
  <si>
    <t xml:space="preserve">13/06/2024</t>
  </si>
  <si>
    <t xml:space="preserve">CUS0072</t>
  </si>
  <si>
    <t xml:space="preserve">TXN001565</t>
  </si>
  <si>
    <t xml:space="preserve">06/09/2024</t>
  </si>
  <si>
    <t xml:space="preserve">TXN002373</t>
  </si>
  <si>
    <t xml:space="preserve">07/05/2024</t>
  </si>
  <si>
    <t xml:space="preserve">TXN004552</t>
  </si>
  <si>
    <t xml:space="preserve">23/09/2024</t>
  </si>
  <si>
    <t xml:space="preserve">CUS0110</t>
  </si>
  <si>
    <t xml:space="preserve">TXN001467</t>
  </si>
  <si>
    <t xml:space="preserve">08/09/2024</t>
  </si>
  <si>
    <t xml:space="preserve">CUS0191</t>
  </si>
  <si>
    <t xml:space="preserve">TXN001542</t>
  </si>
  <si>
    <t xml:space="preserve">CUS0160</t>
  </si>
  <si>
    <t xml:space="preserve">TXN001900</t>
  </si>
  <si>
    <t xml:space="preserve">20/10/2024</t>
  </si>
  <si>
    <t xml:space="preserve">CUS0045</t>
  </si>
  <si>
    <t xml:space="preserve">TXN004508</t>
  </si>
  <si>
    <t xml:space="preserve">27/06/2024</t>
  </si>
  <si>
    <t xml:space="preserve">CUS0151</t>
  </si>
  <si>
    <t xml:space="preserve">TXN000251</t>
  </si>
  <si>
    <t xml:space="preserve">06/08/2024</t>
  </si>
  <si>
    <t xml:space="preserve">CUS0137</t>
  </si>
  <si>
    <t xml:space="preserve">TXN003698</t>
  </si>
  <si>
    <t xml:space="preserve">14/12/2024</t>
  </si>
  <si>
    <t xml:space="preserve">CUS0177</t>
  </si>
  <si>
    <t xml:space="preserve">TXN001253</t>
  </si>
  <si>
    <t xml:space="preserve">25/11/2024</t>
  </si>
  <si>
    <t xml:space="preserve">CUS0119</t>
  </si>
  <si>
    <t xml:space="preserve">TXN000160</t>
  </si>
  <si>
    <t xml:space="preserve">11/12/2024</t>
  </si>
  <si>
    <t xml:space="preserve">CUS0055</t>
  </si>
  <si>
    <t xml:space="preserve">TXN002019</t>
  </si>
  <si>
    <t xml:space="preserve">17/04/2024</t>
  </si>
  <si>
    <t xml:space="preserve">CUS0031</t>
  </si>
  <si>
    <t xml:space="preserve">TXN002533</t>
  </si>
  <si>
    <t xml:space="preserve">05/06/2024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</si>
</sst>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%"/>
    <numFmt numFmtId="167" formatCode="General"/>
    <numFmt numFmtId="168" formatCode="0.0\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A1A1A"/>
      <name val="Arial"/>
      <family val="0"/>
      <charset val="1"/>
    </font>
    <font>
      <sz val="12"/>
      <color rgb="FF444444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9"/>
      <color rgb="FF555555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sz val="8"/>
      <color rgb="FF888888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AA0000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FCC00"/>
        <bgColor rgb="FFFFD700"/>
      </patternFill>
    </fill>
    <fill>
      <patternFill patternType="solid">
        <fgColor rgb="FFFFFDE7"/>
        <bgColor rgb="FFFFF9D6"/>
      </patternFill>
    </fill>
    <fill>
      <patternFill patternType="solid">
        <fgColor rgb="FFD6E4F0"/>
        <bgColor rgb="FFD9D9D9"/>
      </patternFill>
    </fill>
    <fill>
      <patternFill patternType="solid">
        <fgColor rgb="FFFFF9D6"/>
        <bgColor rgb="FFFFFDE7"/>
      </patternFill>
    </fill>
    <fill>
      <patternFill patternType="solid">
        <fgColor rgb="FFFFE0E0"/>
        <bgColor rgb="FFF5F5F5"/>
      </patternFill>
    </fill>
    <fill>
      <patternFill patternType="solid">
        <fgColor rgb="FF1F3864"/>
        <bgColor rgb="FF444444"/>
      </patternFill>
    </fill>
    <fill>
      <patternFill patternType="solid">
        <fgColor rgb="FFF5F5F5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2E75B6"/>
        <bgColor rgb="FF4F81BD"/>
      </patternFill>
    </fill>
    <fill>
      <patternFill patternType="solid">
        <fgColor rgb="FFFFD700"/>
        <bgColor rgb="FFFFCC00"/>
      </patternFill>
    </fill>
    <fill>
      <patternFill patternType="solid">
        <fgColor rgb="FFC0C0C0"/>
        <bgColor rgb="FFCCCCCC"/>
      </patternFill>
    </fill>
    <fill>
      <patternFill patternType="solid">
        <fgColor rgb="FFCD7F32"/>
        <bgColor rgb="FFC09000"/>
      </patternFill>
    </fill>
    <fill>
      <patternFill patternType="solid">
        <fgColor rgb="FFC00000"/>
        <bgColor rgb="FFAA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D700"/>
      <rgbColor rgb="FFFF00FF"/>
      <rgbColor rgb="FF00FFFF"/>
      <rgbColor rgb="FFAA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7030A0"/>
      <rgbColor rgb="FFFFF9D6"/>
      <rgbColor rgb="FFD6E4F0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9F9F9"/>
      <rgbColor rgb="FFFFFDE7"/>
      <rgbColor rgb="FFD9D9D9"/>
      <rgbColor rgb="FFFF99CC"/>
      <rgbColor rgb="FFCC99FF"/>
      <rgbColor rgb="FFFFE0E0"/>
      <rgbColor rgb="FF2E75B6"/>
      <rgbColor rgb="FF4BACC6"/>
      <rgbColor rgb="FF9BBB59"/>
      <rgbColor rgb="FFFFCC00"/>
      <rgbColor rgb="FFC09000"/>
      <rgbColor rgb="FFCD7F32"/>
      <rgbColor rgb="FF8064A2"/>
      <rgbColor rgb="FF888888"/>
      <rgbColor rgb="FF1F3864"/>
      <rgbColor rgb="FF4F81BD"/>
      <rgbColor rgb="FF375623"/>
      <rgbColor rgb="FF1A1A1A"/>
      <rgbColor rgb="FF993300"/>
      <rgbColor rgb="FFC0504D"/>
      <rgbColor rgb="FF555555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Transaction Volume (RM)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Trend'!C3</c:f>
              <c:strCache>
                <c:ptCount val="1"/>
                <c:pt idx="0">
                  <c:v>Volume (RM)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Trend'!$A$4:$A$15</c:f>
              <c:strCache>
                <c:ptCount val="12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</c:strCache>
            </c:strRef>
          </c:cat>
          <c:val>
            <c:numRef>
              <c:f>'Monthly Trend'!$C$4:$C$15</c:f>
              <c:numCache>
                <c:formatCode>#,##0.00</c:formatCode>
                <c:ptCount val="12"/>
                <c:pt idx="0">
                  <c:v>3599226.95</c:v>
                </c:pt>
                <c:pt idx="1">
                  <c:v>2663228.72</c:v>
                </c:pt>
                <c:pt idx="2">
                  <c:v>4415100.16</c:v>
                </c:pt>
                <c:pt idx="3">
                  <c:v>3731998.52</c:v>
                </c:pt>
                <c:pt idx="4">
                  <c:v>3005773.44</c:v>
                </c:pt>
                <c:pt idx="5">
                  <c:v>4562966.99</c:v>
                </c:pt>
                <c:pt idx="6">
                  <c:v>3387879.83</c:v>
                </c:pt>
                <c:pt idx="7">
                  <c:v>4570168.77</c:v>
                </c:pt>
                <c:pt idx="8">
                  <c:v>3812031.98</c:v>
                </c:pt>
                <c:pt idx="9">
                  <c:v>3165025.04</c:v>
                </c:pt>
                <c:pt idx="10">
                  <c:v>3898668.74</c:v>
                </c:pt>
                <c:pt idx="11">
                  <c:v>3589638.29</c:v>
                </c:pt>
              </c:numCache>
            </c:numRef>
          </c:val>
        </c:ser>
        <c:gapWidth val="150"/>
        <c:overlap val="0"/>
        <c:axId val="25802107"/>
        <c:axId val="53434360"/>
      </c:barChart>
      <c:catAx>
        <c:axId val="258021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434360"/>
        <c:crosses val="autoZero"/>
        <c:auto val="1"/>
        <c:lblAlgn val="ctr"/>
        <c:lblOffset val="100"/>
        <c:noMultiLvlLbl val="0"/>
      </c:catAx>
      <c:valAx>
        <c:axId val="534343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Volume (RM)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8021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Volume by Branch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'Branch Analysis'!C3</c:f>
              <c:strCache>
                <c:ptCount val="1"/>
                <c:pt idx="0">
                  <c:v>Total Volume (RM)</c:v>
                </c:pt>
              </c:strCache>
            </c:strRef>
          </c:tx>
          <c:spPr>
            <a:solidFill>
              <a:srgbClr val="ffcc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'Branch Analysis'!$A$4:$A$8</c:f>
              <c:strCache>
                <c:ptCount val="5"/>
                <c:pt idx="0">
                  <c:v>Penang</c:v>
                </c:pt>
                <c:pt idx="1">
                  <c:v>Ipoh</c:v>
                </c:pt>
                <c:pt idx="2">
                  <c:v>Petaling Jaya</c:v>
                </c:pt>
                <c:pt idx="3">
                  <c:v>Johor Bahru</c:v>
                </c:pt>
                <c:pt idx="4">
                  <c:v>Kuala Lumpur</c:v>
                </c:pt>
              </c:strCache>
            </c:strRef>
          </c:cat>
          <c:val>
            <c:numRef>
              <c:f>'Branch Analysis'!$C$4:$C$8</c:f>
              <c:numCache>
                <c:formatCode>#,##0.00</c:formatCode>
                <c:ptCount val="5"/>
                <c:pt idx="0">
                  <c:v>11868524.12</c:v>
                </c:pt>
                <c:pt idx="1">
                  <c:v>9803455.5</c:v>
                </c:pt>
                <c:pt idx="2">
                  <c:v>8283218.59</c:v>
                </c:pt>
                <c:pt idx="3">
                  <c:v>7424228.28</c:v>
                </c:pt>
                <c:pt idx="4">
                  <c:v>7022280.94</c:v>
                </c:pt>
              </c:numCache>
            </c:numRef>
          </c:val>
        </c:ser>
        <c:gapWidth val="150"/>
        <c:overlap val="0"/>
        <c:axId val="16217525"/>
        <c:axId val="86289629"/>
      </c:barChart>
      <c:catAx>
        <c:axId val="1621752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Volume (RM)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289629"/>
        <c:crosses val="autoZero"/>
        <c:auto val="1"/>
        <c:lblAlgn val="ctr"/>
        <c:lblOffset val="100"/>
        <c:noMultiLvlLbl val="0"/>
      </c:catAx>
      <c:valAx>
        <c:axId val="862896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Branch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2175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Transaction Mix by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'Transaction Breakdown'!C4</c:f>
              <c:strCache>
                <c:ptCount val="1"/>
                <c:pt idx="0">
                  <c:v>Volume (RM)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'Transaction Breakdown'!$A$5:$A$9</c:f>
              <c:strCache>
                <c:ptCount val="5"/>
                <c:pt idx="0">
                  <c:v>Loan Repayment</c:v>
                </c:pt>
                <c:pt idx="1">
                  <c:v>Transfer</c:v>
                </c:pt>
                <c:pt idx="2">
                  <c:v>Deposit</c:v>
                </c:pt>
                <c:pt idx="3">
                  <c:v>Withdrawal</c:v>
                </c:pt>
                <c:pt idx="4">
                  <c:v>Payment</c:v>
                </c:pt>
              </c:strCache>
            </c:strRef>
          </c:cat>
          <c:val>
            <c:numRef>
              <c:f>'Transaction Breakdown'!$C$5:$C$9</c:f>
              <c:numCache>
                <c:formatCode>#,##0.00</c:formatCode>
                <c:ptCount val="5"/>
                <c:pt idx="0">
                  <c:v>10824389.05</c:v>
                </c:pt>
                <c:pt idx="1">
                  <c:v>9027837.28</c:v>
                </c:pt>
                <c:pt idx="2">
                  <c:v>8806233.77</c:v>
                </c:pt>
                <c:pt idx="3">
                  <c:v>8164976.92</c:v>
                </c:pt>
                <c:pt idx="4">
                  <c:v>7578270.41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Volume vs Transactions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'Segment Analysis'!C3</c:f>
              <c:strCache>
                <c:ptCount val="1"/>
                <c:pt idx="0">
                  <c:v>Total Volume (RM)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Analysis'!$A$4:$A$6</c:f>
              <c:strCache>
                <c:ptCount val="3"/>
                <c:pt idx="0">
                  <c:v>Retail</c:v>
                </c:pt>
                <c:pt idx="1">
                  <c:v>SME</c:v>
                </c:pt>
                <c:pt idx="2">
                  <c:v>Wealth Management</c:v>
                </c:pt>
              </c:strCache>
            </c:strRef>
          </c:cat>
          <c:val>
            <c:numRef>
              <c:f>'Segment Analysis'!$C$4:$C$6</c:f>
              <c:numCache>
                <c:formatCode>#,##0.00</c:formatCode>
                <c:ptCount val="3"/>
                <c:pt idx="0">
                  <c:v>4496261.69</c:v>
                </c:pt>
                <c:pt idx="1">
                  <c:v>11736373.9</c:v>
                </c:pt>
                <c:pt idx="2">
                  <c:v>28169071.84</c:v>
                </c:pt>
              </c:numCache>
            </c:numRef>
          </c:val>
        </c:ser>
        <c:gapWidth val="150"/>
        <c:overlap val="0"/>
        <c:axId val="61141479"/>
        <c:axId val="83858906"/>
      </c:barChart>
      <c:catAx>
        <c:axId val="61141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858906"/>
        <c:crosses val="autoZero"/>
        <c:auto val="1"/>
        <c:lblAlgn val="ctr"/>
        <c:lblOffset val="100"/>
        <c:noMultiLvlLbl val="0"/>
      </c:catAx>
      <c:valAx>
        <c:axId val="838589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1414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18</xdr:col>
      <xdr:colOff>581400</xdr:colOff>
      <xdr:row>23</xdr:row>
      <xdr:rowOff>157320</xdr:rowOff>
    </xdr:to>
    <xdr:graphicFrame>
      <xdr:nvGraphicFramePr>
        <xdr:cNvPr id="0" name="Chart 1"/>
        <xdr:cNvGraphicFramePr/>
      </xdr:nvGraphicFramePr>
      <xdr:xfrm>
        <a:off x="6884640" y="4953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18</xdr:col>
      <xdr:colOff>473040</xdr:colOff>
      <xdr:row>23</xdr:row>
      <xdr:rowOff>168840</xdr:rowOff>
    </xdr:to>
    <xdr:graphicFrame>
      <xdr:nvGraphicFramePr>
        <xdr:cNvPr id="1" name="Chart 1"/>
        <xdr:cNvGraphicFramePr/>
      </xdr:nvGraphicFramePr>
      <xdr:xfrm>
        <a:off x="8505720" y="49536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5</xdr:col>
      <xdr:colOff>825840</xdr:colOff>
      <xdr:row>35</xdr:row>
      <xdr:rowOff>128880</xdr:rowOff>
    </xdr:to>
    <xdr:graphicFrame>
      <xdr:nvGraphicFramePr>
        <xdr:cNvPr id="2" name="Chart 1"/>
        <xdr:cNvGraphicFramePr/>
      </xdr:nvGraphicFramePr>
      <xdr:xfrm>
        <a:off x="0" y="259092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18</xdr:col>
      <xdr:colOff>581760</xdr:colOff>
      <xdr:row>23</xdr:row>
      <xdr:rowOff>168840</xdr:rowOff>
    </xdr:to>
    <xdr:graphicFrame>
      <xdr:nvGraphicFramePr>
        <xdr:cNvPr id="3" name="Chart 1"/>
        <xdr:cNvGraphicFramePr/>
      </xdr:nvGraphicFramePr>
      <xdr:xfrm>
        <a:off x="8083080" y="4953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C00"/>
    <pageSetUpPr fitToPage="false"/>
  </sheetPr>
  <dimension ref="A1:J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0" min="2" style="0" width="18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19.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21.7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</row>
    <row r="6" customFormat="false" ht="21.75" hidden="false" customHeight="true" outlineLevel="0" collapsed="false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</row>
    <row r="8" customFormat="false" ht="18" hidden="false" customHeight="true" outlineLevel="0" collapsed="false">
      <c r="B8" s="4" t="s">
        <v>3</v>
      </c>
      <c r="D8" s="5" t="s">
        <v>4</v>
      </c>
      <c r="F8" s="4" t="s">
        <v>5</v>
      </c>
      <c r="H8" s="5" t="s">
        <v>6</v>
      </c>
      <c r="J8" s="6" t="s">
        <v>7</v>
      </c>
    </row>
    <row r="9" customFormat="false" ht="31.5" hidden="false" customHeight="true" outlineLevel="0" collapsed="false">
      <c r="B9" s="7" t="s">
        <v>8</v>
      </c>
      <c r="D9" s="8" t="s">
        <v>9</v>
      </c>
      <c r="F9" s="7" t="s">
        <v>10</v>
      </c>
      <c r="H9" s="8" t="s">
        <v>11</v>
      </c>
      <c r="J9" s="9" t="s">
        <v>12</v>
      </c>
    </row>
    <row r="10" customFormat="false" ht="15.75" hidden="false" customHeight="true" outlineLevel="0" collapsed="false">
      <c r="B10" s="10" t="s">
        <v>13</v>
      </c>
      <c r="D10" s="11" t="s">
        <v>14</v>
      </c>
      <c r="F10" s="10" t="s">
        <v>15</v>
      </c>
      <c r="H10" s="11" t="s">
        <v>16</v>
      </c>
      <c r="J10" s="12" t="s">
        <v>17</v>
      </c>
    </row>
    <row r="12" customFormat="false" ht="19.5" hidden="false" customHeight="true" outlineLevel="0" collapsed="false">
      <c r="A12" s="13" t="s">
        <v>18</v>
      </c>
      <c r="B12" s="13"/>
      <c r="C12" s="13"/>
      <c r="D12" s="13"/>
      <c r="E12" s="13"/>
      <c r="F12" s="13"/>
      <c r="G12" s="13"/>
      <c r="H12" s="13"/>
      <c r="I12" s="13"/>
      <c r="J12" s="13"/>
    </row>
    <row r="13" customFormat="false" ht="15.75" hidden="false" customHeight="true" outlineLevel="0" collapsed="false">
      <c r="B13" s="14" t="s">
        <v>19</v>
      </c>
      <c r="C13" s="15" t="s">
        <v>20</v>
      </c>
    </row>
    <row r="14" customFormat="false" ht="15.75" hidden="false" customHeight="true" outlineLevel="0" collapsed="false">
      <c r="B14" s="14" t="s">
        <v>21</v>
      </c>
      <c r="C14" s="15" t="s">
        <v>22</v>
      </c>
    </row>
    <row r="15" customFormat="false" ht="15.75" hidden="false" customHeight="true" outlineLevel="0" collapsed="false">
      <c r="B15" s="14" t="s">
        <v>23</v>
      </c>
      <c r="C15" s="15" t="s">
        <v>24</v>
      </c>
    </row>
    <row r="16" customFormat="false" ht="15.75" hidden="false" customHeight="true" outlineLevel="0" collapsed="false">
      <c r="B16" s="14" t="s">
        <v>25</v>
      </c>
      <c r="C16" s="15" t="s">
        <v>26</v>
      </c>
    </row>
    <row r="17" customFormat="false" ht="15.75" hidden="false" customHeight="true" outlineLevel="0" collapsed="false">
      <c r="B17" s="14" t="s">
        <v>27</v>
      </c>
      <c r="C17" s="15" t="s">
        <v>28</v>
      </c>
    </row>
    <row r="18" customFormat="false" ht="15.75" hidden="false" customHeight="true" outlineLevel="0" collapsed="false">
      <c r="B18" s="14" t="s">
        <v>29</v>
      </c>
      <c r="C18" s="15" t="s">
        <v>30</v>
      </c>
    </row>
  </sheetData>
  <mergeCells count="4">
    <mergeCell ref="A1:J3"/>
    <mergeCell ref="A4:J4"/>
    <mergeCell ref="A6:J6"/>
    <mergeCell ref="A12:J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20"/>
  </cols>
  <sheetData>
    <row r="1" customFormat="false" ht="24" hidden="false" customHeight="true" outlineLevel="0" collapsed="false">
      <c r="A1" s="16" t="s">
        <v>31</v>
      </c>
      <c r="B1" s="16"/>
      <c r="C1" s="16"/>
      <c r="D1" s="16"/>
      <c r="E1" s="16"/>
    </row>
    <row r="3" customFormat="false" ht="27.75" hidden="false" customHeight="true" outlineLevel="0" collapsed="false">
      <c r="A3" s="17" t="s">
        <v>32</v>
      </c>
      <c r="B3" s="17" t="s">
        <v>33</v>
      </c>
      <c r="C3" s="17" t="s">
        <v>34</v>
      </c>
      <c r="D3" s="17" t="s">
        <v>35</v>
      </c>
      <c r="E3" s="17" t="s">
        <v>36</v>
      </c>
    </row>
    <row r="4" customFormat="false" ht="15" hidden="false" customHeight="false" outlineLevel="0" collapsed="false">
      <c r="A4" s="18" t="s">
        <v>37</v>
      </c>
      <c r="B4" s="19" t="n">
        <v>418</v>
      </c>
      <c r="C4" s="20" t="n">
        <v>3599226.95</v>
      </c>
      <c r="D4" s="18"/>
      <c r="E4" s="18"/>
    </row>
    <row r="5" customFormat="false" ht="15" hidden="false" customHeight="false" outlineLevel="0" collapsed="false">
      <c r="A5" s="21" t="s">
        <v>38</v>
      </c>
      <c r="B5" s="22" t="n">
        <v>371</v>
      </c>
      <c r="C5" s="23" t="n">
        <v>2663228.72</v>
      </c>
      <c r="D5" s="24" t="n">
        <f aca="false">IF(C4=0,"-",(C5-C4)/C4)</f>
        <v>-0.260055351608211</v>
      </c>
      <c r="E5" s="24" t="n">
        <f aca="false">IF(B4=0,"-",(B5-B4)/B4)</f>
        <v>-0.11244019138756</v>
      </c>
    </row>
    <row r="6" customFormat="false" ht="15" hidden="false" customHeight="false" outlineLevel="0" collapsed="false">
      <c r="A6" s="18" t="s">
        <v>39</v>
      </c>
      <c r="B6" s="19" t="n">
        <v>440</v>
      </c>
      <c r="C6" s="20" t="n">
        <v>4415100.16</v>
      </c>
      <c r="D6" s="25" t="n">
        <f aca="false">IF(C5=0,"-",(C6-C5)/C5)</f>
        <v>0.657799845294549</v>
      </c>
      <c r="E6" s="25" t="n">
        <f aca="false">IF(B5=0,"-",(B6-B5)/B5)</f>
        <v>0.185983827493261</v>
      </c>
    </row>
    <row r="7" customFormat="false" ht="15" hidden="false" customHeight="false" outlineLevel="0" collapsed="false">
      <c r="A7" s="21" t="s">
        <v>40</v>
      </c>
      <c r="B7" s="22" t="n">
        <v>395</v>
      </c>
      <c r="C7" s="23" t="n">
        <v>3731998.52</v>
      </c>
      <c r="D7" s="24" t="n">
        <f aca="false">IF(C6=0,"-",(C7-C6)/C6)</f>
        <v>-0.154719398257094</v>
      </c>
      <c r="E7" s="24" t="n">
        <f aca="false">IF(B6=0,"-",(B7-B6)/B6)</f>
        <v>-0.102272727272727</v>
      </c>
    </row>
    <row r="8" customFormat="false" ht="15" hidden="false" customHeight="false" outlineLevel="0" collapsed="false">
      <c r="A8" s="18" t="s">
        <v>41</v>
      </c>
      <c r="B8" s="19" t="n">
        <v>375</v>
      </c>
      <c r="C8" s="20" t="n">
        <v>3005773.44</v>
      </c>
      <c r="D8" s="25" t="n">
        <f aca="false">IF(C7=0,"-",(C8-C7)/C7)</f>
        <v>-0.194594150053414</v>
      </c>
      <c r="E8" s="25" t="n">
        <f aca="false">IF(B7=0,"-",(B8-B7)/B7)</f>
        <v>-0.0506329113924051</v>
      </c>
    </row>
    <row r="9" customFormat="false" ht="15" hidden="false" customHeight="false" outlineLevel="0" collapsed="false">
      <c r="A9" s="21" t="s">
        <v>42</v>
      </c>
      <c r="B9" s="22" t="n">
        <v>411</v>
      </c>
      <c r="C9" s="23" t="n">
        <v>4562966.99</v>
      </c>
      <c r="D9" s="24" t="n">
        <f aca="false">IF(C8=0,"-",(C9-C8)/C8)</f>
        <v>0.518067506112503</v>
      </c>
      <c r="E9" s="24" t="n">
        <f aca="false">IF(B8=0,"-",(B9-B8)/B8)</f>
        <v>0.096</v>
      </c>
    </row>
    <row r="10" customFormat="false" ht="15" hidden="false" customHeight="false" outlineLevel="0" collapsed="false">
      <c r="A10" s="18" t="s">
        <v>43</v>
      </c>
      <c r="B10" s="19" t="n">
        <v>408</v>
      </c>
      <c r="C10" s="20" t="n">
        <v>3387879.83</v>
      </c>
      <c r="D10" s="25" t="n">
        <f aca="false">IF(C9=0,"-",(C10-C9)/C9)</f>
        <v>-0.257526991226382</v>
      </c>
      <c r="E10" s="25" t="n">
        <f aca="false">IF(B9=0,"-",(B10-B9)/B9)</f>
        <v>-0.0072992700729927</v>
      </c>
    </row>
    <row r="11" customFormat="false" ht="15" hidden="false" customHeight="false" outlineLevel="0" collapsed="false">
      <c r="A11" s="21" t="s">
        <v>44</v>
      </c>
      <c r="B11" s="22" t="n">
        <v>400</v>
      </c>
      <c r="C11" s="23" t="n">
        <v>4570168.77</v>
      </c>
      <c r="D11" s="24" t="n">
        <f aca="false">IF(C10=0,"-",(C11-C10)/C10)</f>
        <v>0.348976055623555</v>
      </c>
      <c r="E11" s="24" t="n">
        <f aca="false">IF(B10=0,"-",(B11-B10)/B10)</f>
        <v>-0.0196078431372549</v>
      </c>
    </row>
    <row r="12" customFormat="false" ht="15" hidden="false" customHeight="false" outlineLevel="0" collapsed="false">
      <c r="A12" s="18" t="s">
        <v>45</v>
      </c>
      <c r="B12" s="19" t="n">
        <v>384</v>
      </c>
      <c r="C12" s="20" t="n">
        <v>3812031.98</v>
      </c>
      <c r="D12" s="25" t="n">
        <f aca="false">IF(C11=0,"-",(C12-C11)/C11)</f>
        <v>-0.165888138524915</v>
      </c>
      <c r="E12" s="25" t="n">
        <f aca="false">IF(B11=0,"-",(B12-B11)/B11)</f>
        <v>-0.04</v>
      </c>
    </row>
    <row r="13" customFormat="false" ht="15" hidden="false" customHeight="false" outlineLevel="0" collapsed="false">
      <c r="A13" s="21" t="s">
        <v>46</v>
      </c>
      <c r="B13" s="22" t="n">
        <v>430</v>
      </c>
      <c r="C13" s="23" t="n">
        <v>3165025.04</v>
      </c>
      <c r="D13" s="24" t="n">
        <f aca="false">IF(C12=0,"-",(C13-C12)/C12)</f>
        <v>-0.169727574006344</v>
      </c>
      <c r="E13" s="24" t="n">
        <f aca="false">IF(B12=0,"-",(B13-B12)/B12)</f>
        <v>0.119791666666667</v>
      </c>
    </row>
    <row r="14" customFormat="false" ht="15" hidden="false" customHeight="false" outlineLevel="0" collapsed="false">
      <c r="A14" s="18" t="s">
        <v>47</v>
      </c>
      <c r="B14" s="19" t="n">
        <v>412</v>
      </c>
      <c r="C14" s="20" t="n">
        <v>3898668.74</v>
      </c>
      <c r="D14" s="25" t="n">
        <f aca="false">IF(C13=0,"-",(C14-C13)/C13)</f>
        <v>0.231797123475522</v>
      </c>
      <c r="E14" s="25" t="n">
        <f aca="false">IF(B13=0,"-",(B14-B13)/B13)</f>
        <v>-0.0418604651162791</v>
      </c>
    </row>
    <row r="15" customFormat="false" ht="15" hidden="false" customHeight="false" outlineLevel="0" collapsed="false">
      <c r="A15" s="21" t="s">
        <v>48</v>
      </c>
      <c r="B15" s="22" t="n">
        <v>409</v>
      </c>
      <c r="C15" s="23" t="n">
        <v>3589638.29</v>
      </c>
      <c r="D15" s="24" t="n">
        <f aca="false">IF(C14=0,"-",(C15-C14)/C14)</f>
        <v>-0.07926563414567</v>
      </c>
      <c r="E15" s="24" t="n">
        <f aca="false">IF(B14=0,"-",(B15-B14)/B14)</f>
        <v>-0.00728155339805825</v>
      </c>
    </row>
    <row r="16" customFormat="false" ht="15" hidden="false" customHeight="false" outlineLevel="0" collapsed="false">
      <c r="A16" s="26" t="s">
        <v>49</v>
      </c>
      <c r="B16" s="27" t="n">
        <f aca="false">SUM(B4:B15)</f>
        <v>4853</v>
      </c>
      <c r="C16" s="28" t="n">
        <f aca="false">SUM(C4:C15)</f>
        <v>44401707.43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6" min="4" style="0" width="18"/>
  </cols>
  <sheetData>
    <row r="1" customFormat="false" ht="24" hidden="false" customHeight="true" outlineLevel="0" collapsed="false">
      <c r="A1" s="16" t="s">
        <v>50</v>
      </c>
      <c r="B1" s="16"/>
      <c r="C1" s="16"/>
      <c r="D1" s="16"/>
      <c r="E1" s="16"/>
      <c r="F1" s="16"/>
    </row>
    <row r="3" customFormat="false" ht="26.85" hidden="false" customHeight="false" outlineLevel="0" collapsed="false">
      <c r="A3" s="17" t="s">
        <v>51</v>
      </c>
      <c r="B3" s="17" t="s">
        <v>33</v>
      </c>
      <c r="C3" s="17" t="s">
        <v>4</v>
      </c>
      <c r="D3" s="17" t="s">
        <v>6</v>
      </c>
      <c r="E3" s="17" t="s">
        <v>52</v>
      </c>
      <c r="F3" s="17" t="s">
        <v>53</v>
      </c>
    </row>
    <row r="4" customFormat="false" ht="15" hidden="false" customHeight="false" outlineLevel="0" collapsed="false">
      <c r="A4" s="18" t="s">
        <v>54</v>
      </c>
      <c r="B4" s="19" t="n">
        <v>950</v>
      </c>
      <c r="C4" s="20" t="n">
        <v>11868524.12</v>
      </c>
      <c r="D4" s="19" t="n">
        <v>39</v>
      </c>
      <c r="E4" s="20" t="n">
        <v>12493.18</v>
      </c>
      <c r="F4" s="29" t="n">
        <v>26.7</v>
      </c>
    </row>
    <row r="5" customFormat="false" ht="15" hidden="false" customHeight="false" outlineLevel="0" collapsed="false">
      <c r="A5" s="21" t="s">
        <v>55</v>
      </c>
      <c r="B5" s="22" t="n">
        <v>1068</v>
      </c>
      <c r="C5" s="23" t="n">
        <v>9803455.5</v>
      </c>
      <c r="D5" s="22" t="n">
        <v>42</v>
      </c>
      <c r="E5" s="23" t="n">
        <v>9179.27</v>
      </c>
      <c r="F5" s="30" t="n">
        <v>22.1</v>
      </c>
    </row>
    <row r="6" customFormat="false" ht="15" hidden="false" customHeight="false" outlineLevel="0" collapsed="false">
      <c r="A6" s="18" t="s">
        <v>56</v>
      </c>
      <c r="B6" s="19" t="n">
        <v>964</v>
      </c>
      <c r="C6" s="20" t="n">
        <v>8283218.59</v>
      </c>
      <c r="D6" s="19" t="n">
        <v>40</v>
      </c>
      <c r="E6" s="20" t="n">
        <v>8592.55</v>
      </c>
      <c r="F6" s="29" t="n">
        <v>18.7</v>
      </c>
    </row>
    <row r="7" customFormat="false" ht="15" hidden="false" customHeight="false" outlineLevel="0" collapsed="false">
      <c r="A7" s="21" t="s">
        <v>57</v>
      </c>
      <c r="B7" s="22" t="n">
        <v>1092</v>
      </c>
      <c r="C7" s="23" t="n">
        <v>7424228.28</v>
      </c>
      <c r="D7" s="22" t="n">
        <v>46</v>
      </c>
      <c r="E7" s="23" t="n">
        <v>6798.74</v>
      </c>
      <c r="F7" s="30" t="n">
        <v>16.7</v>
      </c>
    </row>
    <row r="8" customFormat="false" ht="15" hidden="false" customHeight="false" outlineLevel="0" collapsed="false">
      <c r="A8" s="18" t="s">
        <v>58</v>
      </c>
      <c r="B8" s="19" t="n">
        <v>779</v>
      </c>
      <c r="C8" s="20" t="n">
        <v>7022280.94</v>
      </c>
      <c r="D8" s="19" t="n">
        <v>33</v>
      </c>
      <c r="E8" s="20" t="n">
        <v>9014.48</v>
      </c>
      <c r="F8" s="29" t="n">
        <v>15.8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4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24" hidden="false" customHeight="true" outlineLevel="0" collapsed="false">
      <c r="A1" s="16" t="s">
        <v>59</v>
      </c>
      <c r="B1" s="16"/>
      <c r="C1" s="16"/>
      <c r="D1" s="16"/>
      <c r="E1" s="16"/>
    </row>
    <row r="3" customFormat="false" ht="15" hidden="false" customHeight="false" outlineLevel="0" collapsed="false">
      <c r="A3" s="31" t="s">
        <v>60</v>
      </c>
      <c r="F3" s="31" t="s">
        <v>61</v>
      </c>
    </row>
    <row r="4" customFormat="false" ht="15" hidden="false" customHeight="false" outlineLevel="0" collapsed="false">
      <c r="A4" s="32" t="s">
        <v>62</v>
      </c>
      <c r="B4" s="32" t="s">
        <v>63</v>
      </c>
      <c r="C4" s="32" t="s">
        <v>34</v>
      </c>
      <c r="D4" s="17" t="s">
        <v>64</v>
      </c>
    </row>
    <row r="5" customFormat="false" ht="15" hidden="false" customHeight="false" outlineLevel="0" collapsed="false">
      <c r="A5" s="18" t="s">
        <v>65</v>
      </c>
      <c r="B5" s="19" t="n">
        <v>1011</v>
      </c>
      <c r="C5" s="20" t="n">
        <v>10824389.05</v>
      </c>
      <c r="D5" s="19" t="n">
        <v>24.4</v>
      </c>
      <c r="F5" s="33" t="s">
        <v>66</v>
      </c>
      <c r="G5" s="34" t="n">
        <v>949</v>
      </c>
      <c r="H5" s="35" t="n">
        <v>9477404.34</v>
      </c>
    </row>
    <row r="6" customFormat="false" ht="15" hidden="false" customHeight="false" outlineLevel="0" collapsed="false">
      <c r="A6" s="21" t="s">
        <v>67</v>
      </c>
      <c r="B6" s="22" t="n">
        <v>943</v>
      </c>
      <c r="C6" s="23" t="n">
        <v>9027837.28</v>
      </c>
      <c r="D6" s="22" t="n">
        <v>20.3</v>
      </c>
      <c r="F6" s="36" t="s">
        <v>68</v>
      </c>
      <c r="G6" s="37" t="n">
        <v>988</v>
      </c>
      <c r="H6" s="38" t="n">
        <v>8831288.3</v>
      </c>
    </row>
    <row r="7" customFormat="false" ht="15" hidden="false" customHeight="false" outlineLevel="0" collapsed="false">
      <c r="A7" s="18" t="s">
        <v>69</v>
      </c>
      <c r="B7" s="19" t="n">
        <v>996</v>
      </c>
      <c r="C7" s="20" t="n">
        <v>8806233.77</v>
      </c>
      <c r="D7" s="19" t="n">
        <v>19.8</v>
      </c>
      <c r="F7" s="33" t="s">
        <v>70</v>
      </c>
      <c r="G7" s="34" t="n">
        <v>966</v>
      </c>
      <c r="H7" s="35" t="n">
        <v>8792553.36</v>
      </c>
    </row>
    <row r="8" customFormat="false" ht="15" hidden="false" customHeight="false" outlineLevel="0" collapsed="false">
      <c r="A8" s="21" t="s">
        <v>71</v>
      </c>
      <c r="B8" s="22" t="n">
        <v>933</v>
      </c>
      <c r="C8" s="23" t="n">
        <v>8164976.92</v>
      </c>
      <c r="D8" s="22" t="n">
        <v>18.4</v>
      </c>
      <c r="F8" s="36" t="s">
        <v>72</v>
      </c>
      <c r="G8" s="37" t="n">
        <v>999</v>
      </c>
      <c r="H8" s="38" t="n">
        <v>8763574.16</v>
      </c>
    </row>
    <row r="9" customFormat="false" ht="15" hidden="false" customHeight="false" outlineLevel="0" collapsed="false">
      <c r="A9" s="18" t="s">
        <v>73</v>
      </c>
      <c r="B9" s="19" t="n">
        <v>970</v>
      </c>
      <c r="C9" s="20" t="n">
        <v>7578270.41</v>
      </c>
      <c r="D9" s="19" t="n">
        <v>17.1</v>
      </c>
      <c r="F9" s="33" t="s">
        <v>74</v>
      </c>
      <c r="G9" s="34" t="n">
        <v>951</v>
      </c>
      <c r="H9" s="35" t="n">
        <v>8536887.27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26"/>
  </cols>
  <sheetData>
    <row r="1" customFormat="false" ht="24" hidden="false" customHeight="true" outlineLevel="0" collapsed="false">
      <c r="A1" s="16" t="s">
        <v>75</v>
      </c>
      <c r="B1" s="16"/>
      <c r="C1" s="16"/>
      <c r="D1" s="16"/>
      <c r="E1" s="16"/>
    </row>
    <row r="3" customFormat="false" ht="26.85" hidden="false" customHeight="false" outlineLevel="0" collapsed="false">
      <c r="A3" s="17" t="s">
        <v>76</v>
      </c>
      <c r="B3" s="17" t="s">
        <v>33</v>
      </c>
      <c r="C3" s="17" t="s">
        <v>4</v>
      </c>
      <c r="D3" s="17" t="s">
        <v>6</v>
      </c>
      <c r="E3" s="17" t="s">
        <v>77</v>
      </c>
    </row>
    <row r="4" customFormat="false" ht="15" hidden="false" customHeight="false" outlineLevel="0" collapsed="false">
      <c r="A4" s="18" t="s">
        <v>78</v>
      </c>
      <c r="B4" s="19" t="n">
        <v>1511</v>
      </c>
      <c r="C4" s="20" t="n">
        <v>4496261.69</v>
      </c>
      <c r="D4" s="19" t="n">
        <v>64</v>
      </c>
      <c r="E4" s="20" t="n">
        <v>70254.09</v>
      </c>
    </row>
    <row r="5" customFormat="false" ht="15" hidden="false" customHeight="false" outlineLevel="0" collapsed="false">
      <c r="A5" s="21" t="s">
        <v>79</v>
      </c>
      <c r="B5" s="22" t="n">
        <v>1715</v>
      </c>
      <c r="C5" s="23" t="n">
        <v>11736373.9</v>
      </c>
      <c r="D5" s="22" t="n">
        <v>68</v>
      </c>
      <c r="E5" s="23" t="n">
        <v>172593.73</v>
      </c>
    </row>
    <row r="6" customFormat="false" ht="15" hidden="false" customHeight="false" outlineLevel="0" collapsed="false">
      <c r="A6" s="18" t="s">
        <v>80</v>
      </c>
      <c r="B6" s="19" t="n">
        <v>1627</v>
      </c>
      <c r="C6" s="20" t="n">
        <v>28169071.84</v>
      </c>
      <c r="D6" s="19" t="n">
        <v>68</v>
      </c>
      <c r="E6" s="20" t="n">
        <v>414251.06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9000"/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2"/>
  </cols>
  <sheetData>
    <row r="1" customFormat="false" ht="24" hidden="false" customHeight="true" outlineLevel="0" collapsed="false">
      <c r="A1" s="16" t="s">
        <v>81</v>
      </c>
      <c r="B1" s="16"/>
      <c r="C1" s="16"/>
      <c r="D1" s="16"/>
    </row>
    <row r="3" customFormat="false" ht="15" hidden="false" customHeight="false" outlineLevel="0" collapsed="false">
      <c r="A3" s="17" t="s">
        <v>82</v>
      </c>
      <c r="B3" s="17" t="s">
        <v>83</v>
      </c>
      <c r="C3" s="17" t="s">
        <v>33</v>
      </c>
      <c r="D3" s="17" t="s">
        <v>4</v>
      </c>
    </row>
    <row r="4" customFormat="false" ht="15" hidden="false" customHeight="false" outlineLevel="0" collapsed="false">
      <c r="A4" s="39" t="n">
        <v>1</v>
      </c>
      <c r="B4" s="40" t="s">
        <v>84</v>
      </c>
      <c r="C4" s="39" t="n">
        <v>39</v>
      </c>
      <c r="D4" s="41" t="n">
        <v>1036607</v>
      </c>
    </row>
    <row r="5" customFormat="false" ht="15" hidden="false" customHeight="false" outlineLevel="0" collapsed="false">
      <c r="A5" s="42" t="n">
        <v>2</v>
      </c>
      <c r="B5" s="43" t="s">
        <v>85</v>
      </c>
      <c r="C5" s="42" t="n">
        <v>20</v>
      </c>
      <c r="D5" s="44" t="n">
        <v>954227.05</v>
      </c>
    </row>
    <row r="6" customFormat="false" ht="15" hidden="false" customHeight="false" outlineLevel="0" collapsed="false">
      <c r="A6" s="45" t="n">
        <v>3</v>
      </c>
      <c r="B6" s="46" t="s">
        <v>86</v>
      </c>
      <c r="C6" s="45" t="n">
        <v>14</v>
      </c>
      <c r="D6" s="47" t="n">
        <v>792516.65</v>
      </c>
    </row>
    <row r="7" customFormat="false" ht="15" hidden="false" customHeight="false" outlineLevel="0" collapsed="false">
      <c r="A7" s="22" t="n">
        <v>4</v>
      </c>
      <c r="B7" s="21" t="s">
        <v>87</v>
      </c>
      <c r="C7" s="22" t="n">
        <v>31</v>
      </c>
      <c r="D7" s="23" t="n">
        <v>755005.19</v>
      </c>
    </row>
    <row r="8" customFormat="false" ht="15" hidden="false" customHeight="false" outlineLevel="0" collapsed="false">
      <c r="A8" s="19" t="n">
        <v>5</v>
      </c>
      <c r="B8" s="18" t="s">
        <v>88</v>
      </c>
      <c r="C8" s="19" t="n">
        <v>36</v>
      </c>
      <c r="D8" s="20" t="n">
        <v>734983.69</v>
      </c>
    </row>
    <row r="9" customFormat="false" ht="15" hidden="false" customHeight="false" outlineLevel="0" collapsed="false">
      <c r="A9" s="22" t="n">
        <v>6</v>
      </c>
      <c r="B9" s="21" t="s">
        <v>89</v>
      </c>
      <c r="C9" s="22" t="n">
        <v>24</v>
      </c>
      <c r="D9" s="23" t="n">
        <v>729373.39</v>
      </c>
    </row>
    <row r="10" customFormat="false" ht="15" hidden="false" customHeight="false" outlineLevel="0" collapsed="false">
      <c r="A10" s="19" t="n">
        <v>7</v>
      </c>
      <c r="B10" s="18" t="s">
        <v>90</v>
      </c>
      <c r="C10" s="19" t="n">
        <v>27</v>
      </c>
      <c r="D10" s="20" t="n">
        <v>729016.09</v>
      </c>
    </row>
    <row r="11" customFormat="false" ht="15" hidden="false" customHeight="false" outlineLevel="0" collapsed="false">
      <c r="A11" s="22" t="n">
        <v>8</v>
      </c>
      <c r="B11" s="21" t="s">
        <v>91</v>
      </c>
      <c r="C11" s="22" t="n">
        <v>21</v>
      </c>
      <c r="D11" s="23" t="n">
        <v>709897.55</v>
      </c>
    </row>
    <row r="12" customFormat="false" ht="15" hidden="false" customHeight="false" outlineLevel="0" collapsed="false">
      <c r="A12" s="19" t="n">
        <v>9</v>
      </c>
      <c r="B12" s="18" t="s">
        <v>92</v>
      </c>
      <c r="C12" s="19" t="n">
        <v>24</v>
      </c>
      <c r="D12" s="20" t="n">
        <v>698764.5</v>
      </c>
    </row>
    <row r="13" customFormat="false" ht="15" hidden="false" customHeight="false" outlineLevel="0" collapsed="false">
      <c r="A13" s="22" t="n">
        <v>10</v>
      </c>
      <c r="B13" s="21" t="s">
        <v>93</v>
      </c>
      <c r="C13" s="22" t="n">
        <v>26</v>
      </c>
      <c r="D13" s="23" t="n">
        <v>658260.89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8"/>
  </cols>
  <sheetData>
    <row r="1" customFormat="false" ht="24" hidden="false" customHeight="true" outlineLevel="0" collapsed="false">
      <c r="A1" s="48" t="s">
        <v>94</v>
      </c>
      <c r="B1" s="48"/>
      <c r="C1" s="48"/>
      <c r="D1" s="48"/>
      <c r="E1" s="48"/>
      <c r="F1" s="48"/>
      <c r="G1" s="48"/>
    </row>
    <row r="2" customFormat="false" ht="18" hidden="false" customHeight="true" outlineLevel="0" collapsed="false">
      <c r="A2" s="49" t="s">
        <v>95</v>
      </c>
      <c r="B2" s="49"/>
      <c r="C2" s="49"/>
      <c r="D2" s="49"/>
      <c r="E2" s="49"/>
      <c r="F2" s="49"/>
      <c r="G2" s="49"/>
    </row>
    <row r="4" customFormat="false" ht="15" hidden="false" customHeight="false" outlineLevel="0" collapsed="false">
      <c r="A4" s="50" t="s">
        <v>96</v>
      </c>
      <c r="B4" s="50" t="s">
        <v>97</v>
      </c>
      <c r="C4" s="50" t="s">
        <v>98</v>
      </c>
      <c r="D4" s="50" t="s">
        <v>76</v>
      </c>
      <c r="E4" s="50" t="s">
        <v>51</v>
      </c>
      <c r="F4" s="50" t="s">
        <v>99</v>
      </c>
      <c r="G4" s="50" t="s">
        <v>100</v>
      </c>
    </row>
    <row r="5" customFormat="false" ht="15" hidden="false" customHeight="false" outlineLevel="0" collapsed="false">
      <c r="A5" s="18" t="s">
        <v>101</v>
      </c>
      <c r="B5" s="18" t="s">
        <v>102</v>
      </c>
      <c r="C5" s="18" t="s">
        <v>89</v>
      </c>
      <c r="D5" s="18" t="s">
        <v>80</v>
      </c>
      <c r="E5" s="18" t="s">
        <v>58</v>
      </c>
      <c r="F5" s="18" t="s">
        <v>65</v>
      </c>
      <c r="G5" s="51" t="n">
        <v>500000</v>
      </c>
    </row>
    <row r="6" customFormat="false" ht="15" hidden="false" customHeight="false" outlineLevel="0" collapsed="false">
      <c r="A6" s="21" t="s">
        <v>103</v>
      </c>
      <c r="B6" s="21" t="s">
        <v>104</v>
      </c>
      <c r="C6" s="21" t="s">
        <v>86</v>
      </c>
      <c r="D6" s="21" t="s">
        <v>80</v>
      </c>
      <c r="E6" s="21" t="s">
        <v>54</v>
      </c>
      <c r="F6" s="21" t="s">
        <v>69</v>
      </c>
      <c r="G6" s="51" t="n">
        <v>500000</v>
      </c>
    </row>
    <row r="7" customFormat="false" ht="15" hidden="false" customHeight="false" outlineLevel="0" collapsed="false">
      <c r="A7" s="18" t="s">
        <v>105</v>
      </c>
      <c r="B7" s="18" t="s">
        <v>106</v>
      </c>
      <c r="C7" s="18" t="s">
        <v>91</v>
      </c>
      <c r="D7" s="18" t="s">
        <v>80</v>
      </c>
      <c r="E7" s="18" t="s">
        <v>55</v>
      </c>
      <c r="F7" s="18" t="s">
        <v>67</v>
      </c>
      <c r="G7" s="51" t="n">
        <v>430962.29</v>
      </c>
    </row>
    <row r="8" customFormat="false" ht="15" hidden="false" customHeight="false" outlineLevel="0" collapsed="false">
      <c r="A8" s="21" t="s">
        <v>107</v>
      </c>
      <c r="B8" s="21" t="s">
        <v>108</v>
      </c>
      <c r="C8" s="21" t="s">
        <v>109</v>
      </c>
      <c r="D8" s="21" t="s">
        <v>80</v>
      </c>
      <c r="E8" s="21" t="s">
        <v>55</v>
      </c>
      <c r="F8" s="21" t="s">
        <v>67</v>
      </c>
      <c r="G8" s="51" t="n">
        <v>409036.28</v>
      </c>
    </row>
    <row r="9" customFormat="false" ht="15" hidden="false" customHeight="false" outlineLevel="0" collapsed="false">
      <c r="A9" s="18" t="s">
        <v>110</v>
      </c>
      <c r="B9" s="18" t="s">
        <v>111</v>
      </c>
      <c r="C9" s="18" t="s">
        <v>85</v>
      </c>
      <c r="D9" s="18" t="s">
        <v>80</v>
      </c>
      <c r="E9" s="18" t="s">
        <v>55</v>
      </c>
      <c r="F9" s="18" t="s">
        <v>65</v>
      </c>
      <c r="G9" s="51" t="n">
        <v>400769.92</v>
      </c>
    </row>
    <row r="10" customFormat="false" ht="15" hidden="false" customHeight="false" outlineLevel="0" collapsed="false">
      <c r="A10" s="21" t="s">
        <v>112</v>
      </c>
      <c r="B10" s="21" t="s">
        <v>113</v>
      </c>
      <c r="C10" s="21" t="s">
        <v>84</v>
      </c>
      <c r="D10" s="21" t="s">
        <v>80</v>
      </c>
      <c r="E10" s="21" t="s">
        <v>56</v>
      </c>
      <c r="F10" s="21" t="s">
        <v>65</v>
      </c>
      <c r="G10" s="51" t="n">
        <v>390484.24</v>
      </c>
    </row>
    <row r="11" customFormat="false" ht="15" hidden="false" customHeight="false" outlineLevel="0" collapsed="false">
      <c r="A11" s="18" t="s">
        <v>114</v>
      </c>
      <c r="B11" s="18" t="s">
        <v>115</v>
      </c>
      <c r="C11" s="18" t="s">
        <v>116</v>
      </c>
      <c r="D11" s="18" t="s">
        <v>80</v>
      </c>
      <c r="E11" s="18" t="s">
        <v>56</v>
      </c>
      <c r="F11" s="18" t="s">
        <v>65</v>
      </c>
      <c r="G11" s="51" t="n">
        <v>368892.65</v>
      </c>
    </row>
    <row r="12" customFormat="false" ht="15" hidden="false" customHeight="false" outlineLevel="0" collapsed="false">
      <c r="A12" s="21" t="s">
        <v>117</v>
      </c>
      <c r="B12" s="21" t="s">
        <v>118</v>
      </c>
      <c r="C12" s="21" t="s">
        <v>87</v>
      </c>
      <c r="D12" s="21" t="s">
        <v>80</v>
      </c>
      <c r="E12" s="21" t="s">
        <v>56</v>
      </c>
      <c r="F12" s="21" t="s">
        <v>67</v>
      </c>
      <c r="G12" s="51" t="n">
        <v>364718.51</v>
      </c>
    </row>
    <row r="13" customFormat="false" ht="15" hidden="false" customHeight="false" outlineLevel="0" collapsed="false">
      <c r="A13" s="18" t="s">
        <v>119</v>
      </c>
      <c r="B13" s="18" t="s">
        <v>120</v>
      </c>
      <c r="C13" s="18" t="s">
        <v>88</v>
      </c>
      <c r="D13" s="18" t="s">
        <v>80</v>
      </c>
      <c r="E13" s="18" t="s">
        <v>55</v>
      </c>
      <c r="F13" s="18" t="s">
        <v>69</v>
      </c>
      <c r="G13" s="51" t="n">
        <v>360750.93</v>
      </c>
    </row>
    <row r="14" customFormat="false" ht="15" hidden="false" customHeight="false" outlineLevel="0" collapsed="false">
      <c r="A14" s="21" t="s">
        <v>121</v>
      </c>
      <c r="B14" s="21" t="s">
        <v>122</v>
      </c>
      <c r="C14" s="21" t="s">
        <v>123</v>
      </c>
      <c r="D14" s="21" t="s">
        <v>80</v>
      </c>
      <c r="E14" s="21" t="s">
        <v>54</v>
      </c>
      <c r="F14" s="21" t="s">
        <v>65</v>
      </c>
      <c r="G14" s="51" t="n">
        <v>320935.38</v>
      </c>
    </row>
    <row r="15" customFormat="false" ht="15" hidden="false" customHeight="false" outlineLevel="0" collapsed="false">
      <c r="A15" s="18" t="s">
        <v>124</v>
      </c>
      <c r="B15" s="18" t="s">
        <v>125</v>
      </c>
      <c r="C15" s="18" t="s">
        <v>126</v>
      </c>
      <c r="D15" s="18" t="s">
        <v>80</v>
      </c>
      <c r="E15" s="18" t="s">
        <v>58</v>
      </c>
      <c r="F15" s="18" t="s">
        <v>65</v>
      </c>
      <c r="G15" s="51" t="n">
        <v>297901.75</v>
      </c>
    </row>
    <row r="16" customFormat="false" ht="15" hidden="false" customHeight="false" outlineLevel="0" collapsed="false">
      <c r="A16" s="21" t="s">
        <v>127</v>
      </c>
      <c r="B16" s="21" t="s">
        <v>120</v>
      </c>
      <c r="C16" s="21" t="s">
        <v>128</v>
      </c>
      <c r="D16" s="21" t="s">
        <v>80</v>
      </c>
      <c r="E16" s="21" t="s">
        <v>56</v>
      </c>
      <c r="F16" s="21" t="s">
        <v>71</v>
      </c>
      <c r="G16" s="51" t="n">
        <v>257714.64</v>
      </c>
    </row>
    <row r="17" customFormat="false" ht="15" hidden="false" customHeight="false" outlineLevel="0" collapsed="false">
      <c r="A17" s="18" t="s">
        <v>129</v>
      </c>
      <c r="B17" s="18" t="s">
        <v>130</v>
      </c>
      <c r="C17" s="18" t="s">
        <v>131</v>
      </c>
      <c r="D17" s="18" t="s">
        <v>80</v>
      </c>
      <c r="E17" s="18" t="s">
        <v>58</v>
      </c>
      <c r="F17" s="18" t="s">
        <v>71</v>
      </c>
      <c r="G17" s="51" t="n">
        <v>245279.54</v>
      </c>
    </row>
    <row r="18" customFormat="false" ht="15" hidden="false" customHeight="false" outlineLevel="0" collapsed="false">
      <c r="A18" s="21" t="s">
        <v>132</v>
      </c>
      <c r="B18" s="21" t="s">
        <v>133</v>
      </c>
      <c r="C18" s="21" t="s">
        <v>134</v>
      </c>
      <c r="D18" s="21" t="s">
        <v>80</v>
      </c>
      <c r="E18" s="21" t="s">
        <v>55</v>
      </c>
      <c r="F18" s="21" t="s">
        <v>67</v>
      </c>
      <c r="G18" s="51" t="n">
        <v>241358.98</v>
      </c>
    </row>
    <row r="19" customFormat="false" ht="15" hidden="false" customHeight="false" outlineLevel="0" collapsed="false">
      <c r="A19" s="18" t="s">
        <v>135</v>
      </c>
      <c r="B19" s="18" t="s">
        <v>136</v>
      </c>
      <c r="C19" s="18" t="s">
        <v>137</v>
      </c>
      <c r="D19" s="18" t="s">
        <v>80</v>
      </c>
      <c r="E19" s="18" t="s">
        <v>54</v>
      </c>
      <c r="F19" s="18" t="s">
        <v>65</v>
      </c>
      <c r="G19" s="51" t="n">
        <v>239872.6</v>
      </c>
    </row>
    <row r="20" customFormat="false" ht="15" hidden="false" customHeight="false" outlineLevel="0" collapsed="false">
      <c r="A20" s="21" t="s">
        <v>138</v>
      </c>
      <c r="B20" s="21" t="s">
        <v>139</v>
      </c>
      <c r="C20" s="21" t="s">
        <v>140</v>
      </c>
      <c r="D20" s="21" t="s">
        <v>80</v>
      </c>
      <c r="E20" s="21" t="s">
        <v>58</v>
      </c>
      <c r="F20" s="21" t="s">
        <v>69</v>
      </c>
      <c r="G20" s="51" t="n">
        <v>217754.22</v>
      </c>
    </row>
    <row r="21" customFormat="false" ht="15" hidden="false" customHeight="false" outlineLevel="0" collapsed="false">
      <c r="A21" s="18" t="s">
        <v>141</v>
      </c>
      <c r="B21" s="18" t="s">
        <v>142</v>
      </c>
      <c r="C21" s="18" t="s">
        <v>143</v>
      </c>
      <c r="D21" s="18" t="s">
        <v>79</v>
      </c>
      <c r="E21" s="18" t="s">
        <v>54</v>
      </c>
      <c r="F21" s="18" t="s">
        <v>69</v>
      </c>
      <c r="G21" s="51" t="n">
        <v>217481.32</v>
      </c>
    </row>
    <row r="22" customFormat="false" ht="15" hidden="false" customHeight="false" outlineLevel="0" collapsed="false">
      <c r="A22" s="21" t="s">
        <v>144</v>
      </c>
      <c r="B22" s="21" t="s">
        <v>145</v>
      </c>
      <c r="C22" s="21" t="s">
        <v>146</v>
      </c>
      <c r="D22" s="21" t="s">
        <v>79</v>
      </c>
      <c r="E22" s="21" t="s">
        <v>54</v>
      </c>
      <c r="F22" s="21" t="s">
        <v>65</v>
      </c>
      <c r="G22" s="51" t="n">
        <v>215929.36</v>
      </c>
    </row>
    <row r="23" customFormat="false" ht="15" hidden="false" customHeight="false" outlineLevel="0" collapsed="false">
      <c r="A23" s="18" t="s">
        <v>147</v>
      </c>
      <c r="B23" s="18" t="s">
        <v>148</v>
      </c>
      <c r="C23" s="18" t="s">
        <v>149</v>
      </c>
      <c r="D23" s="18" t="s">
        <v>79</v>
      </c>
      <c r="E23" s="18" t="s">
        <v>54</v>
      </c>
      <c r="F23" s="18" t="s">
        <v>71</v>
      </c>
      <c r="G23" s="51" t="n">
        <v>208634.99</v>
      </c>
    </row>
    <row r="24" customFormat="false" ht="15" hidden="false" customHeight="false" outlineLevel="0" collapsed="false">
      <c r="A24" s="21" t="s">
        <v>150</v>
      </c>
      <c r="B24" s="21" t="s">
        <v>151</v>
      </c>
      <c r="C24" s="21" t="s">
        <v>90</v>
      </c>
      <c r="D24" s="21" t="s">
        <v>80</v>
      </c>
      <c r="E24" s="21" t="s">
        <v>54</v>
      </c>
      <c r="F24" s="21" t="s">
        <v>73</v>
      </c>
      <c r="G24" s="51" t="n">
        <v>198037.58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2026-05-01T07:16:20Z</dcterms:created>
  <dc:creator>openpyxl</dc:creator>
  <dc:description/>
  <dc:language>en-US</dc:language>
  <cp:lastModifiedBy/>
  <dcterms:modified xsi:type="dcterms:W3CDTF">2026-05-01T07:16:28Z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